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be58e1bca72986/Desktop/"/>
    </mc:Choice>
  </mc:AlternateContent>
  <xr:revisionPtr revIDLastSave="0" documentId="8_{3B050584-8CD2-4862-B33B-FC52FD61AD4C}" xr6:coauthVersionLast="47" xr6:coauthVersionMax="47" xr10:uidLastSave="{00000000-0000-0000-0000-000000000000}"/>
  <bookViews>
    <workbookView xWindow="-108" yWindow="-108" windowWidth="23256" windowHeight="12456" activeTab="1" xr2:uid="{AC9F7054-7923-47D5-9382-C2D8F424A8DE}"/>
  </bookViews>
  <sheets>
    <sheet name="Sheet2" sheetId="3" r:id="rId1"/>
    <sheet name="Dashboard" sheetId="4" r:id="rId2"/>
    <sheet name="Sheet1" sheetId="1" r:id="rId3"/>
  </sheet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8" r:id="rId12"/>
    <pivotCache cacheId="9" r:id="rId13"/>
    <pivotCache cacheId="10" r:id="rId14"/>
    <pivotCache cacheId="11" r:id="rId15"/>
    <pivotCache cacheId="12" r:id="rId16"/>
    <pivotCache cacheId="13" r:id="rId17"/>
    <pivotCache cacheId="14" r:id="rId1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buses_b3765326-eef6-4547-8967-dc29638f0716" name="Dim_buses" connection="Query - Dim_buses"/>
          <x15:modelTable id="Dim_demographics_d57b739b-6407-478a-b5eb-cdbb1e360e09" name="Dim_demographics" connection="Query - Dim_demographics"/>
          <x15:modelTable id="Dim_routes_6307be03-32ae-4490-a05e-04a1d014915a" name="Dim_routes" connection="Query - Dim_routes"/>
          <x15:modelTable id="Facttable_ridership_21bbfde3-e178-4462-9331-00c362fe814f" name="Facttable_ridership" connection="Query - Facttable_ridership"/>
          <x15:modelTable id="Dim_DateTable_348eb4b1-8afe-4eda-b47b-7538432ec6cc" name="Dim_DateTable" connection="Query - Dim_DateTable"/>
          <x15:modelTable id="Calculations_e0d6bd69-204a-4435-89eb-22888e97c371" name="Calculations" connection="Query - Calculations"/>
        </x15:modelTables>
        <x15:modelRelationships>
          <x15:modelRelationship fromTable="Dim_buses" fromColumn="RouteID" toTable="Dim_routes" toColumn="RouteID"/>
          <x15:modelRelationship fromTable="Facttable_ridership" fromColumn="BusID" toTable="Dim_buses" toColumn="BusID"/>
          <x15:modelRelationship fromTable="Facttable_ridership" fromColumn="RiderID" toTable="Dim_demographics" toColumn="RiderID"/>
          <x15:modelRelationship fromTable="Facttable_ridership" fromColumn="Date" toTable="Dim_DateTable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table_ridership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Facttable_ridership" columnName="Time" columnId="Time">
                <x16:calculatedTimeColumn columnName="Time (Hour)" columnId="Time (Hour)" contentType="hours" isSelected="1"/>
                <x16:calculatedTimeColumn columnName="Time (Minute)" columnId="Time (Minute)" contentType="minute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3" i="3" l="1"/>
  <c r="H54" i="3"/>
  <c r="H52" i="3"/>
  <c r="E62" i="3"/>
  <c r="F59" i="3"/>
  <c r="F60" i="3"/>
  <c r="F58" i="3"/>
  <c r="E59" i="3"/>
  <c r="E60" i="3"/>
  <c r="E58" i="3"/>
  <c r="F43" i="3"/>
  <c r="F46" i="3"/>
  <c r="D43" i="3"/>
  <c r="C44" i="3"/>
  <c r="D44" i="3" s="1"/>
  <c r="C45" i="3"/>
  <c r="D45" i="3" s="1"/>
  <c r="C46" i="3"/>
  <c r="D46" i="3" s="1"/>
  <c r="C47" i="3"/>
  <c r="D47" i="3" s="1"/>
  <c r="C48" i="3"/>
  <c r="D48" i="3" s="1"/>
  <c r="C49" i="3"/>
  <c r="D49" i="3" s="1"/>
  <c r="C43" i="3"/>
  <c r="G31" i="3"/>
  <c r="G32" i="3"/>
  <c r="G33" i="3"/>
  <c r="G34" i="3"/>
  <c r="G35" i="3"/>
  <c r="G36" i="3"/>
  <c r="G30" i="3"/>
  <c r="I3" i="1"/>
  <c r="G3" i="1"/>
  <c r="B3" i="1"/>
  <c r="A37" i="3"/>
  <c r="D3" i="1"/>
  <c r="K3" i="1" l="1"/>
  <c r="C37" i="3"/>
  <c r="B37" i="3"/>
  <c r="M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95BBE9-57D4-4521-9985-206FBCEF3250}" name="Query - Calculations" description="Connection to the 'Calculations' query in the workbook." type="100" refreshedVersion="8" minRefreshableVersion="5">
    <extLst>
      <ext xmlns:x15="http://schemas.microsoft.com/office/spreadsheetml/2010/11/main" uri="{DE250136-89BD-433C-8126-D09CA5730AF9}">
        <x15:connection id="a0554109-a5d3-4453-8eb5-92a7b6caedc6">
          <x15:oledbPr connection="Provider=Microsoft.Mashup.OleDb.1;Data Source=$Workbook$;Location=Calculations;Extended Properties=&quot;&quot;">
            <x15:dbTables>
              <x15:dbTable name="Calculations"/>
            </x15:dbTables>
          </x15:oledbPr>
        </x15:connection>
      </ext>
    </extLst>
  </connection>
  <connection id="2" xr16:uid="{3EFE860B-39A6-44A3-997B-A8CDE539BB72}" name="Query - Dim_buses" description="Connection to the 'Dim_buses' query in the workbook." type="100" refreshedVersion="8" minRefreshableVersion="5">
    <extLst>
      <ext xmlns:x15="http://schemas.microsoft.com/office/spreadsheetml/2010/11/main" uri="{DE250136-89BD-433C-8126-D09CA5730AF9}">
        <x15:connection id="41e4b63c-491d-483b-8348-8cb2504f0693">
          <x15:oledbPr connection="Provider=Microsoft.Mashup.OleDb.1;Data Source=$Workbook$;Location=Dim_buses;Extended Properties=&quot;&quot;">
            <x15:dbTables>
              <x15:dbTable name="Dim_buses"/>
            </x15:dbTables>
          </x15:oledbPr>
        </x15:connection>
      </ext>
    </extLst>
  </connection>
  <connection id="3" xr16:uid="{4F0FD507-6207-48E1-9B02-6BC1F85BD9C7}" name="Query - Dim_DateTable" description="Connection to the 'Dim_DateTable' query in the workbook." type="100" refreshedVersion="8" minRefreshableVersion="5">
    <extLst>
      <ext xmlns:x15="http://schemas.microsoft.com/office/spreadsheetml/2010/11/main" uri="{DE250136-89BD-433C-8126-D09CA5730AF9}">
        <x15:connection id="21b56b27-7c6a-4eba-9ae0-b24e7f7c7533"/>
      </ext>
    </extLst>
  </connection>
  <connection id="4" xr16:uid="{89358AF0-6E23-4BD1-B50A-3C0314563138}" name="Query - Dim_demographics" description="Connection to the 'Dim_demographics' query in the workbook." type="100" refreshedVersion="8" minRefreshableVersion="5">
    <extLst>
      <ext xmlns:x15="http://schemas.microsoft.com/office/spreadsheetml/2010/11/main" uri="{DE250136-89BD-433C-8126-D09CA5730AF9}">
        <x15:connection id="b1ac63eb-ba08-4c22-a912-2280898d97a4">
          <x15:oledbPr connection="Provider=Microsoft.Mashup.OleDb.1;Data Source=$Workbook$;Location=Dim_demographics;Extended Properties=&quot;&quot;">
            <x15:dbTables>
              <x15:dbTable name="Dim_demographics"/>
            </x15:dbTables>
          </x15:oledbPr>
        </x15:connection>
      </ext>
    </extLst>
  </connection>
  <connection id="5" xr16:uid="{12CEC848-FE70-42DD-AAF0-72ABF26C5B41}" name="Query - Dim_routes" description="Connection to the 'Dim_routes' query in the workbook." type="100" refreshedVersion="8" minRefreshableVersion="5">
    <extLst>
      <ext xmlns:x15="http://schemas.microsoft.com/office/spreadsheetml/2010/11/main" uri="{DE250136-89BD-433C-8126-D09CA5730AF9}">
        <x15:connection id="0fce42fe-210b-40d8-a9f6-302c5730f9c5">
          <x15:oledbPr connection="Provider=Microsoft.Mashup.OleDb.1;Data Source=$Workbook$;Location=Dim_routes;Extended Properties=&quot;&quot;">
            <x15:dbTables>
              <x15:dbTable name="Dim_routes"/>
            </x15:dbTables>
          </x15:oledbPr>
        </x15:connection>
      </ext>
    </extLst>
  </connection>
  <connection id="6" xr16:uid="{353E18F3-95C0-40BD-A06A-53A5A96914F4}" name="Query - Facttable_ridership" description="Connection to the 'Facttable_ridership' query in the workbook." type="100" refreshedVersion="8" minRefreshableVersion="5">
    <extLst>
      <ext xmlns:x15="http://schemas.microsoft.com/office/spreadsheetml/2010/11/main" uri="{DE250136-89BD-433C-8126-D09CA5730AF9}">
        <x15:connection id="921b5e08-7474-4e31-9143-21d18e8f4686">
          <x15:oledbPr connection="Provider=Microsoft.Mashup.OleDb.1;Data Source=$Workbook$;Location=Facttable_ridership;Extended Properties=&quot;&quot;">
            <x15:dbTables>
              <x15:dbTable name="Facttable_ridership"/>
            </x15:dbTables>
          </x15:oledbPr>
        </x15:connection>
      </ext>
    </extLst>
  </connection>
  <connection id="7" xr16:uid="{242E1962-43CC-48E0-848D-CBA0B50F0ED8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<sst xmlns="http://schemas.openxmlformats.org/spreadsheetml/2006/main" count="103" uniqueCount="65">
  <si>
    <t>0-19</t>
  </si>
  <si>
    <t>20-29</t>
  </si>
  <si>
    <t>30-39</t>
  </si>
  <si>
    <t>40-49</t>
  </si>
  <si>
    <t>50-59</t>
  </si>
  <si>
    <t>60+</t>
  </si>
  <si>
    <t>Count of BusID</t>
  </si>
  <si>
    <t>Count of Age</t>
  </si>
  <si>
    <t>Columns</t>
  </si>
  <si>
    <t>Total Transactions</t>
  </si>
  <si>
    <t>Average Age</t>
  </si>
  <si>
    <t>Count of Occupation</t>
  </si>
  <si>
    <t>Avg rider per trip</t>
  </si>
  <si>
    <t>Total riders</t>
  </si>
  <si>
    <t>East-West Express</t>
  </si>
  <si>
    <t>South Line</t>
  </si>
  <si>
    <t>Total Passengers</t>
  </si>
  <si>
    <t>Busiest route</t>
  </si>
  <si>
    <t>Least Busy route</t>
  </si>
  <si>
    <t>avg rider per trip</t>
  </si>
  <si>
    <t>total passengers</t>
  </si>
  <si>
    <t>03:00 PM - 06:00 PM</t>
  </si>
  <si>
    <t>06:00 AM - 09:00 AM</t>
  </si>
  <si>
    <t>06:00 PM - 09:00 PM</t>
  </si>
  <si>
    <t>09:00 AM - 12:00 PM</t>
  </si>
  <si>
    <t>09:00 PM - 12:00 AM</t>
  </si>
  <si>
    <t>12:00 PM - 03:00 PM</t>
  </si>
  <si>
    <t>Time Group</t>
  </si>
  <si>
    <t xml:space="preserve">Time </t>
  </si>
  <si>
    <t>8:57 PM</t>
  </si>
  <si>
    <t>7:50 PM</t>
  </si>
  <si>
    <t>Peak hr of operation</t>
  </si>
  <si>
    <t>off peak hr of operation</t>
  </si>
  <si>
    <t xml:space="preserve">Year </t>
  </si>
  <si>
    <t>YoY Pct change</t>
  </si>
  <si>
    <t>Indicator</t>
  </si>
  <si>
    <t>▲</t>
  </si>
  <si>
    <t>▼</t>
  </si>
  <si>
    <t>Caption:</t>
  </si>
  <si>
    <t>Fri</t>
  </si>
  <si>
    <t>Mon</t>
  </si>
  <si>
    <t>Sat</t>
  </si>
  <si>
    <t>Sun</t>
  </si>
  <si>
    <t>Thu</t>
  </si>
  <si>
    <t>Tue</t>
  </si>
  <si>
    <t>Wed</t>
  </si>
  <si>
    <t>Average</t>
  </si>
  <si>
    <t xml:space="preserve">Day </t>
  </si>
  <si>
    <t>riders</t>
  </si>
  <si>
    <t>average</t>
  </si>
  <si>
    <t>above average</t>
  </si>
  <si>
    <t>Above average Percentage</t>
  </si>
  <si>
    <t>Dec</t>
  </si>
  <si>
    <t>Jan</t>
  </si>
  <si>
    <t xml:space="preserve">Month </t>
  </si>
  <si>
    <t>Over Utilized</t>
  </si>
  <si>
    <t>Under Utilized</t>
  </si>
  <si>
    <t>Well Utilized</t>
  </si>
  <si>
    <t>Total Buses</t>
  </si>
  <si>
    <t xml:space="preserve">Bus Utilization Category </t>
  </si>
  <si>
    <t>Bus Utilization Category</t>
  </si>
  <si>
    <t>Pct</t>
  </si>
  <si>
    <t>Pct left</t>
  </si>
  <si>
    <t>AM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</si>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</sst>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2" borderId="0" xfId="0" applyFill="1"/>
    <xf numFmtId="10" fontId="0" fillId="0" borderId="0" xfId="0" applyNumberFormat="1"/>
    <xf numFmtId="0" fontId="1" fillId="0" borderId="0" xfId="0" applyFont="1"/>
    <xf numFmtId="9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4CBF0"/>
      <color rgb="FF3CB7CC"/>
      <color rgb="FFE2E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0.xml"/><Relationship Id="rId18" Type="http://schemas.openxmlformats.org/officeDocument/2006/relationships/pivotCacheDefinition" Target="pivotCache/pivotCacheDefinition15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55" Type="http://schemas.openxmlformats.org/officeDocument/2006/relationships/customXml" Target="../customXml/item30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3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8.xml"/><Relationship Id="rId24" Type="http://schemas.microsoft.com/office/2017/10/relationships/person" Target="persons/person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8" Type="http://schemas.openxmlformats.org/officeDocument/2006/relationships/customXml" Target="../customXml/item33.xml"/><Relationship Id="rId5" Type="http://schemas.openxmlformats.org/officeDocument/2006/relationships/pivotCacheDefinition" Target="pivotCache/pivotCacheDefinition2.xml"/><Relationship Id="rId61" Type="http://schemas.openxmlformats.org/officeDocument/2006/relationships/customXml" Target="../customXml/item36.xml"/><Relationship Id="rId19" Type="http://schemas.openxmlformats.org/officeDocument/2006/relationships/theme" Target="theme/theme1.xml"/><Relationship Id="rId14" Type="http://schemas.openxmlformats.org/officeDocument/2006/relationships/pivotCacheDefinition" Target="pivotCache/pivotCacheDefinition11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56" Type="http://schemas.openxmlformats.org/officeDocument/2006/relationships/customXml" Target="../customXml/item31.xml"/><Relationship Id="rId8" Type="http://schemas.openxmlformats.org/officeDocument/2006/relationships/pivotCacheDefinition" Target="pivotCache/pivotCacheDefinition5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pivotCacheDefinition" Target="pivotCache/pivotCacheDefinition14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59" Type="http://schemas.openxmlformats.org/officeDocument/2006/relationships/customXml" Target="../customXml/item34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Relationship Id="rId54" Type="http://schemas.openxmlformats.org/officeDocument/2006/relationships/customXml" Target="../customXml/item2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2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Relationship Id="rId57" Type="http://schemas.openxmlformats.org/officeDocument/2006/relationships/customXml" Target="../customXml/item32.xml"/><Relationship Id="rId10" Type="http://schemas.openxmlformats.org/officeDocument/2006/relationships/pivotCacheDefinition" Target="pivotCache/pivotCacheDefinition7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60" Type="http://schemas.openxmlformats.org/officeDocument/2006/relationships/customXml" Target="../customXml/item35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[RouteRadar-Bus-Utilization-Ridership-Analytics.xlsx]Sheet2!PivotTable6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CB7CC"/>
          </a:solidFill>
          <a:ln w="60325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2908535853203267"/>
          <c:y val="7.7054903135312713E-2"/>
          <c:w val="0.52008303344989071"/>
          <c:h val="0.8458901937293745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CB7CC"/>
            </a:solidFill>
            <a:ln w="6032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Sheet2!$E$13:$E$18</c:f>
              <c:strCache>
                <c:ptCount val="6"/>
                <c:pt idx="0">
                  <c:v>03:00 PM - 06:00 PM</c:v>
                </c:pt>
                <c:pt idx="1">
                  <c:v>06:00 PM - 09:00 PM</c:v>
                </c:pt>
                <c:pt idx="2">
                  <c:v>06:00 AM - 09:00 AM</c:v>
                </c:pt>
                <c:pt idx="3">
                  <c:v>09:00 PM - 12:00 AM</c:v>
                </c:pt>
                <c:pt idx="4">
                  <c:v>12:00 PM - 03:00 PM</c:v>
                </c:pt>
                <c:pt idx="5">
                  <c:v>09:00 AM - 12:00 PM</c:v>
                </c:pt>
              </c:strCache>
            </c:strRef>
          </c:cat>
          <c:val>
            <c:numRef>
              <c:f>Sheet2!$F$13:$F$18</c:f>
              <c:numCache>
                <c:formatCode>General</c:formatCode>
                <c:ptCount val="6"/>
                <c:pt idx="0">
                  <c:v>884</c:v>
                </c:pt>
                <c:pt idx="1">
                  <c:v>968</c:v>
                </c:pt>
                <c:pt idx="2">
                  <c:v>973</c:v>
                </c:pt>
                <c:pt idx="3">
                  <c:v>1147</c:v>
                </c:pt>
                <c:pt idx="4">
                  <c:v>1257</c:v>
                </c:pt>
                <c:pt idx="5">
                  <c:v>1358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F3-4C92-BFD8-BCCD4A9546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2028408080"/>
        <c:axId val="2028408560"/>
      </c:barChart>
      <c:catAx>
        <c:axId val="2028408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dbl" algn="ctr">
            <a:solidFill>
              <a:schemeClr val="bg2">
                <a:alpha val="9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2E3D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408560"/>
        <c:crosses val="autoZero"/>
        <c:auto val="1"/>
        <c:lblAlgn val="ctr"/>
        <c:lblOffset val="100"/>
        <c:noMultiLvlLbl val="0"/>
      </c:catAx>
      <c:valAx>
        <c:axId val="2028408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2840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[RouteRadar-Bus-Utilization-Ridership-Analytics.xlsx]Sheet2!PivotTable9</c:name>
    <c:fmtId val="2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14CB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6361498491243519E-2"/>
          <c:y val="0.12069448140250962"/>
          <c:w val="0.8980047033192643"/>
          <c:h val="0.6247688920989608"/>
        </c:manualLayout>
      </c:layout>
      <c:lineChart>
        <c:grouping val="standard"/>
        <c:varyColors val="0"/>
        <c:ser>
          <c:idx val="0"/>
          <c:order val="0"/>
          <c:tx>
            <c:strRef>
              <c:f>Sheet2!$B$27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14CB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Sheet2!$A$28:$A$29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Sheet2!$B$28:$B$29</c:f>
              <c:numCache>
                <c:formatCode>General</c:formatCode>
                <c:ptCount val="2"/>
                <c:pt idx="0">
                  <c:v>5654</c:v>
                </c:pt>
                <c:pt idx="1">
                  <c:v>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16-41DD-9BA2-74FEF3090F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98471263"/>
        <c:axId val="698476063"/>
      </c:lineChart>
      <c:catAx>
        <c:axId val="6984712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476063"/>
        <c:crosses val="autoZero"/>
        <c:auto val="1"/>
        <c:lblAlgn val="ctr"/>
        <c:lblOffset val="100"/>
        <c:noMultiLvlLbl val="0"/>
      </c:catAx>
      <c:valAx>
        <c:axId val="6984760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9847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Sheet2!$A$43:$A$49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Sheet2!$B$43:$B$49</c:f>
              <c:numCache>
                <c:formatCode>General</c:formatCode>
                <c:ptCount val="7"/>
                <c:pt idx="0">
                  <c:v>1185</c:v>
                </c:pt>
                <c:pt idx="1">
                  <c:v>1085</c:v>
                </c:pt>
                <c:pt idx="2">
                  <c:v>983</c:v>
                </c:pt>
                <c:pt idx="3">
                  <c:v>887</c:v>
                </c:pt>
                <c:pt idx="4">
                  <c:v>889</c:v>
                </c:pt>
                <c:pt idx="5">
                  <c:v>762</c:v>
                </c:pt>
                <c:pt idx="6">
                  <c:v>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D-4A24-B38E-E49D25EBB9F3}"/>
            </c:ext>
          </c:extLst>
        </c:ser>
        <c:ser>
          <c:idx val="2"/>
          <c:order val="2"/>
          <c:spPr>
            <a:solidFill>
              <a:srgbClr val="3CB7CC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0D-4A24-B38E-E49D25EBB9F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0D-4A24-B38E-E49D25EBB9F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30D-4A24-B38E-E49D25EBB9F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30D-4A24-B38E-E49D25EBB9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Sheet2!$A$43:$A$49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Sheet2!$D$43:$D$49</c:f>
              <c:numCache>
                <c:formatCode>General</c:formatCode>
                <c:ptCount val="7"/>
                <c:pt idx="0">
                  <c:v>1185</c:v>
                </c:pt>
                <c:pt idx="1">
                  <c:v>1085</c:v>
                </c:pt>
                <c:pt idx="2">
                  <c:v>983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0D-4A24-B38E-E49D25EBB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334248624"/>
        <c:axId val="334268304"/>
      </c:barChart>
      <c:lineChart>
        <c:grouping val="standard"/>
        <c:varyColors val="0"/>
        <c:ser>
          <c:idx val="1"/>
          <c:order val="1"/>
          <c:spPr>
            <a:ln w="28575" cap="rnd" cmpd="sng">
              <a:solidFill>
                <a:schemeClr val="bg2">
                  <a:lumMod val="2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Sheet2!$A$43:$A$49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Sheet2!$C$43:$C$49</c:f>
              <c:numCache>
                <c:formatCode>General</c:formatCode>
                <c:ptCount val="7"/>
                <c:pt idx="0">
                  <c:v>941</c:v>
                </c:pt>
                <c:pt idx="1">
                  <c:v>941</c:v>
                </c:pt>
                <c:pt idx="2">
                  <c:v>941</c:v>
                </c:pt>
                <c:pt idx="3">
                  <c:v>941</c:v>
                </c:pt>
                <c:pt idx="4">
                  <c:v>941</c:v>
                </c:pt>
                <c:pt idx="5">
                  <c:v>941</c:v>
                </c:pt>
                <c:pt idx="6">
                  <c:v>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0D-4A24-B38E-E49D25EBB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248624"/>
        <c:axId val="334268304"/>
      </c:lineChart>
      <c:catAx>
        <c:axId val="33424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268304"/>
        <c:crosses val="autoZero"/>
        <c:auto val="1"/>
        <c:lblAlgn val="ctr"/>
        <c:lblOffset val="100"/>
        <c:noMultiLvlLbl val="0"/>
      </c:catAx>
      <c:valAx>
        <c:axId val="334268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3424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[RouteRadar-Bus-Utilization-Ridership-Analytics.xlsx]Sheet2!PivotTable12</c:name>
    <c:fmtId val="29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14CBF0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5.5655912019535646E-2"/>
          <c:y val="0.10190399862350634"/>
          <c:w val="0.89900099914544873"/>
          <c:h val="0.65928146906909169"/>
        </c:manualLayout>
      </c:layout>
      <c:lineChart>
        <c:grouping val="standard"/>
        <c:varyColors val="0"/>
        <c:ser>
          <c:idx val="0"/>
          <c:order val="0"/>
          <c:tx>
            <c:strRef>
              <c:f>Sheet2!$I$3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14CBF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5223-473F-A526-B04E9725D8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Sheet2!$H$4:$H$5</c:f>
              <c:strCache>
                <c:ptCount val="2"/>
                <c:pt idx="0">
                  <c:v>Jan</c:v>
                </c:pt>
                <c:pt idx="1">
                  <c:v>Dec</c:v>
                </c:pt>
              </c:strCache>
            </c:strRef>
          </c:cat>
          <c:val>
            <c:numRef>
              <c:f>Sheet2!$I$4:$I$5</c:f>
              <c:numCache>
                <c:formatCode>General</c:formatCode>
                <c:ptCount val="2"/>
                <c:pt idx="0">
                  <c:v>933</c:v>
                </c:pt>
                <c:pt idx="1">
                  <c:v>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6-4D71-A212-38A445C4DF9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51816384"/>
        <c:axId val="1551817824"/>
      </c:lineChart>
      <c:catAx>
        <c:axId val="155181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17824"/>
        <c:crosses val="autoZero"/>
        <c:auto val="1"/>
        <c:lblAlgn val="ctr"/>
        <c:lblOffset val="100"/>
        <c:noMultiLvlLbl val="0"/>
      </c:catAx>
      <c:valAx>
        <c:axId val="15518178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5181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tx>
            <c:strRef>
              <c:f>Sheet2!$D$58</c:f>
              <c:strCache>
                <c:ptCount val="1"/>
                <c:pt idx="0">
                  <c:v>Over Utilized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0B0F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CEA-4E67-919A-5DA60E412DE2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CEA-4E67-919A-5DA60E412DE2}"/>
              </c:ext>
            </c:extLst>
          </c:dPt>
          <c:val>
            <c:numRef>
              <c:f>Sheet2!$E$58:$F$58</c:f>
              <c:numCache>
                <c:formatCode>0%</c:formatCode>
                <c:ptCount val="2"/>
                <c:pt idx="0">
                  <c:v>0.25974025974025972</c:v>
                </c:pt>
                <c:pt idx="1">
                  <c:v>0.74025974025974028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CEA-4E67-919A-5DA60E412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tx>
            <c:strRef>
              <c:f>Sheet2!$D$59</c:f>
              <c:strCache>
                <c:ptCount val="1"/>
                <c:pt idx="0">
                  <c:v>Under Utilized</c:v>
                </c:pt>
              </c:strCache>
            </c:strRef>
          </c:tx>
          <c:dPt>
            <c:idx val="0"/>
            <c:bubble3D val="0"/>
            <c:spPr>
              <a:solidFill>
                <a:srgbClr val="3CB7CC"/>
              </a:solidFill>
            </c:spPr>
            <c:extLst>
              <c:ext xmlns:c16="http://schemas.microsoft.com/office/drawing/2014/chart" uri="{C3380CC4-5D6E-409C-BE32-E72D297353CC}">
                <c16:uniqueId val="{00000000-FE6A-4959-98B7-5ACA0E0AB1E6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FE6A-4959-98B7-5ACA0E0AB1E6}"/>
              </c:ext>
            </c:extLst>
          </c:dPt>
          <c:val>
            <c:numRef>
              <c:f>Sheet2!$E$59:$F$59</c:f>
              <c:numCache>
                <c:formatCode>0%</c:formatCode>
                <c:ptCount val="2"/>
                <c:pt idx="0">
                  <c:v>0.24675324675324675</c:v>
                </c:pt>
                <c:pt idx="1">
                  <c:v>0.75324675324675328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6A-4959-98B7-5ACA0E0AB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Sheet2!$D$60</c:f>
              <c:strCache>
                <c:ptCount val="1"/>
                <c:pt idx="0">
                  <c:v>Well Utilized</c:v>
                </c:pt>
              </c:strCache>
            </c:strRef>
          </c:tx>
          <c:dPt>
            <c:idx val="0"/>
            <c:bubble3D val="0"/>
            <c:spPr>
              <a:solidFill>
                <a:srgbClr val="14CBF0"/>
              </a:solidFill>
            </c:spPr>
            <c:extLst>
              <c:ext xmlns:c16="http://schemas.microsoft.com/office/drawing/2014/chart" uri="{C3380CC4-5D6E-409C-BE32-E72D297353CC}">
                <c16:uniqueId val="{00000005-5725-49DF-82E7-EE0C872933F8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5725-49DF-82E7-EE0C872933F8}"/>
              </c:ext>
            </c:extLst>
          </c:dPt>
          <c:val>
            <c:numRef>
              <c:f>Sheet2!$E$60:$F$60</c:f>
              <c:numCache>
                <c:formatCode>0%</c:formatCode>
                <c:ptCount val="2"/>
                <c:pt idx="0">
                  <c:v>0.4935064935064935</c:v>
                </c:pt>
                <c:pt idx="1">
                  <c:v>0.50649350649350655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25-49DF-82E7-EE0C87293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ln>
          <a:noFill/>
        </a:ln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microsoft.com/office/2007/relationships/hdphoto" Target="../media/hdphoto2.wdp"/><Relationship Id="rId3" Type="http://schemas.microsoft.com/office/2007/relationships/hdphoto" Target="../media/hdphoto1.wdp"/><Relationship Id="rId7" Type="http://schemas.openxmlformats.org/officeDocument/2006/relationships/chart" Target="../charts/chart3.xml"/><Relationship Id="rId12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openxmlformats.org/officeDocument/2006/relationships/chart" Target="../charts/chart7.xml"/><Relationship Id="rId5" Type="http://schemas.openxmlformats.org/officeDocument/2006/relationships/chart" Target="../charts/chart2.xml"/><Relationship Id="rId10" Type="http://schemas.openxmlformats.org/officeDocument/2006/relationships/chart" Target="../charts/chart6.xml"/><Relationship Id="rId4" Type="http://schemas.openxmlformats.org/officeDocument/2006/relationships/image" Target="../media/image2.png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132672</xdr:colOff>
      <xdr:row>0</xdr:row>
      <xdr:rowOff>0</xdr:rowOff>
    </xdr:from>
    <xdr:to>
      <xdr:col>25</xdr:col>
      <xdr:colOff>344128</xdr:colOff>
      <xdr:row>33</xdr:row>
      <xdr:rowOff>160420</xdr:rowOff>
    </xdr:to>
    <xdr:sp macro="" textlink="">
      <xdr:nvSpPr>
        <xdr:cNvPr id="12" name="Arrow: Pentagon 11">
          <a:extLst>
            <a:ext uri="{FF2B5EF4-FFF2-40B4-BE49-F238E27FC236}">
              <a16:creationId xmlns:a16="http://schemas.microsoft.com/office/drawing/2014/main" id="{17CFE6FB-60D7-403D-A4B3-4C413A969A3E}"/>
            </a:ext>
          </a:extLst>
        </xdr:cNvPr>
        <xdr:cNvSpPr/>
      </xdr:nvSpPr>
      <xdr:spPr>
        <a:xfrm rot="10800000">
          <a:off x="1967488" y="0"/>
          <a:ext cx="13666772" cy="6116052"/>
        </a:xfrm>
        <a:prstGeom prst="homePlate">
          <a:avLst>
            <a:gd name="adj" fmla="val 28174"/>
          </a:avLst>
        </a:prstGeom>
        <a:gradFill flip="none" rotWithShape="1">
          <a:gsLst>
            <a:gs pos="43000">
              <a:schemeClr val="bg2">
                <a:lumMod val="10000"/>
              </a:schemeClr>
            </a:gs>
            <a:gs pos="93000">
              <a:schemeClr val="tx1">
                <a:lumMod val="95000"/>
                <a:lumOff val="5000"/>
              </a:schemeClr>
            </a:gs>
            <a:gs pos="0">
              <a:schemeClr val="bg2">
                <a:lumMod val="10000"/>
              </a:schemeClr>
            </a:gs>
            <a:gs pos="71000">
              <a:schemeClr val="bg2">
                <a:lumMod val="25000"/>
              </a:schemeClr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607333</xdr:colOff>
      <xdr:row>0</xdr:row>
      <xdr:rowOff>25399</xdr:rowOff>
    </xdr:from>
    <xdr:to>
      <xdr:col>27</xdr:col>
      <xdr:colOff>159773</xdr:colOff>
      <xdr:row>33</xdr:row>
      <xdr:rowOff>160421</xdr:rowOff>
    </xdr:to>
    <xdr:sp macro="" textlink="">
      <xdr:nvSpPr>
        <xdr:cNvPr id="11" name="Arrow: Pentagon 10">
          <a:extLst>
            <a:ext uri="{FF2B5EF4-FFF2-40B4-BE49-F238E27FC236}">
              <a16:creationId xmlns:a16="http://schemas.microsoft.com/office/drawing/2014/main" id="{C0EFE397-E170-4AF8-8B8B-DE7EBD3B0DC0}"/>
            </a:ext>
          </a:extLst>
        </xdr:cNvPr>
        <xdr:cNvSpPr/>
      </xdr:nvSpPr>
      <xdr:spPr>
        <a:xfrm rot="10800000">
          <a:off x="3053754" y="25399"/>
          <a:ext cx="13619361" cy="6090654"/>
        </a:xfrm>
        <a:prstGeom prst="homePlate">
          <a:avLst>
            <a:gd name="adj" fmla="val 28174"/>
          </a:avLst>
        </a:prstGeom>
        <a:gradFill flip="none" rotWithShape="1">
          <a:gsLst>
            <a:gs pos="43000">
              <a:schemeClr val="bg2">
                <a:lumMod val="10000"/>
              </a:schemeClr>
            </a:gs>
            <a:gs pos="93000">
              <a:schemeClr val="tx1">
                <a:lumMod val="95000"/>
                <a:lumOff val="5000"/>
              </a:schemeClr>
            </a:gs>
            <a:gs pos="0">
              <a:schemeClr val="bg2">
                <a:lumMod val="10000"/>
              </a:schemeClr>
            </a:gs>
            <a:gs pos="71000">
              <a:schemeClr val="bg2">
                <a:lumMod val="25000"/>
              </a:schemeClr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331838</xdr:colOff>
      <xdr:row>0</xdr:row>
      <xdr:rowOff>55559</xdr:rowOff>
    </xdr:from>
    <xdr:to>
      <xdr:col>31</xdr:col>
      <xdr:colOff>517895</xdr:colOff>
      <xdr:row>33</xdr:row>
      <xdr:rowOff>170447</xdr:rowOff>
    </xdr:to>
    <xdr:sp macro="" textlink="">
      <xdr:nvSpPr>
        <xdr:cNvPr id="7" name="Arrow: Pentagon 6">
          <a:extLst>
            <a:ext uri="{FF2B5EF4-FFF2-40B4-BE49-F238E27FC236}">
              <a16:creationId xmlns:a16="http://schemas.microsoft.com/office/drawing/2014/main" id="{0CEF765C-D1BF-4828-BBA9-151C4B285CE3}"/>
            </a:ext>
          </a:extLst>
        </xdr:cNvPr>
        <xdr:cNvSpPr/>
      </xdr:nvSpPr>
      <xdr:spPr>
        <a:xfrm rot="10800000">
          <a:off x="3973940" y="55559"/>
          <a:ext cx="15361480" cy="6081735"/>
        </a:xfrm>
        <a:prstGeom prst="homePlate">
          <a:avLst>
            <a:gd name="adj" fmla="val 28174"/>
          </a:avLst>
        </a:prstGeom>
        <a:gradFill flip="none" rotWithShape="1">
          <a:gsLst>
            <a:gs pos="43000">
              <a:schemeClr val="bg2">
                <a:lumMod val="10000"/>
              </a:schemeClr>
            </a:gs>
            <a:gs pos="93000">
              <a:schemeClr val="tx1">
                <a:lumMod val="95000"/>
                <a:lumOff val="5000"/>
              </a:schemeClr>
            </a:gs>
            <a:gs pos="0">
              <a:schemeClr val="bg2">
                <a:lumMod val="10000"/>
              </a:schemeClr>
            </a:gs>
            <a:gs pos="71000">
              <a:schemeClr val="bg2">
                <a:lumMod val="25000"/>
              </a:schemeClr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182563</xdr:colOff>
      <xdr:row>2</xdr:row>
      <xdr:rowOff>4762</xdr:rowOff>
    </xdr:from>
    <xdr:to>
      <xdr:col>1</xdr:col>
      <xdr:colOff>95250</xdr:colOff>
      <xdr:row>32</xdr:row>
      <xdr:rowOff>10027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FAF6410-7605-9E70-130C-D6FB21E343B3}"/>
            </a:ext>
          </a:extLst>
        </xdr:cNvPr>
        <xdr:cNvSpPr/>
      </xdr:nvSpPr>
      <xdr:spPr>
        <a:xfrm>
          <a:off x="182563" y="365709"/>
          <a:ext cx="524292" cy="5419476"/>
        </a:xfrm>
        <a:prstGeom prst="roundRect">
          <a:avLst/>
        </a:prstGeom>
        <a:solidFill>
          <a:schemeClr val="bg2">
            <a:lumMod val="10000"/>
          </a:schemeClr>
        </a:solidFill>
        <a:ln>
          <a:noFill/>
        </a:ln>
        <a:effectLst/>
        <a:scene3d>
          <a:camera prst="orthographicFront"/>
          <a:lightRig rig="flood" dir="t">
            <a:rot lat="0" lon="0" rev="8400000"/>
          </a:lightRig>
        </a:scene3d>
        <a:sp3d prstMaterial="plastic">
          <a:bevelT w="38100"/>
          <a:bevelB w="31750"/>
        </a:sp3d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251363</xdr:colOff>
      <xdr:row>2</xdr:row>
      <xdr:rowOff>130343</xdr:rowOff>
    </xdr:from>
    <xdr:to>
      <xdr:col>14</xdr:col>
      <xdr:colOff>529526</xdr:colOff>
      <xdr:row>8</xdr:row>
      <xdr:rowOff>19374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F11DC87-024E-5AB4-26E5-AD35E3AA95F5}"/>
            </a:ext>
          </a:extLst>
        </xdr:cNvPr>
        <xdr:cNvGrpSpPr/>
      </xdr:nvGrpSpPr>
      <xdr:grpSpPr>
        <a:xfrm>
          <a:off x="863568" y="495061"/>
          <a:ext cx="8236830" cy="983185"/>
          <a:chOff x="1426809" y="412750"/>
          <a:chExt cx="6078892" cy="809625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ECAAB443-7728-998A-3D57-2A57F45271DA}"/>
              </a:ext>
            </a:extLst>
          </xdr:cNvPr>
          <xdr:cNvSpPr/>
        </xdr:nvSpPr>
        <xdr:spPr>
          <a:xfrm>
            <a:off x="1428750" y="412750"/>
            <a:ext cx="5902158" cy="809625"/>
          </a:xfrm>
          <a:prstGeom prst="roundRect">
            <a:avLst/>
          </a:prstGeom>
          <a:solidFill>
            <a:schemeClr val="tx1"/>
          </a:solidFill>
          <a:ln>
            <a:noFill/>
          </a:ln>
          <a:scene3d>
            <a:camera prst="orthographicFront"/>
            <a:lightRig rig="balanced" dir="t"/>
          </a:scene3d>
          <a:sp3d extrusionH="12700" prstMaterial="plastic">
            <a:bevelT w="44450"/>
            <a:bevelB w="254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7130F005-3BAA-0874-7B6A-790A09815A17}"/>
              </a:ext>
            </a:extLst>
          </xdr:cNvPr>
          <xdr:cNvSpPr txBox="1"/>
        </xdr:nvSpPr>
        <xdr:spPr>
          <a:xfrm>
            <a:off x="1500188" y="484188"/>
            <a:ext cx="1436687" cy="29368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>
                <a:solidFill>
                  <a:schemeClr val="bg1"/>
                </a:solidFill>
              </a:rPr>
              <a:t>Total Passengers</a:t>
            </a: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4376FB74-7468-4C18-ADEA-0FC8F5B90AE6}"/>
              </a:ext>
            </a:extLst>
          </xdr:cNvPr>
          <xdr:cNvSpPr txBox="1"/>
        </xdr:nvSpPr>
        <xdr:spPr>
          <a:xfrm>
            <a:off x="3094567" y="484188"/>
            <a:ext cx="1436687" cy="29368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>
                <a:solidFill>
                  <a:schemeClr val="bg1"/>
                </a:solidFill>
              </a:rPr>
              <a:t>Avg.</a:t>
            </a:r>
            <a:r>
              <a:rPr lang="en-IN" sz="1400" baseline="0">
                <a:solidFill>
                  <a:schemeClr val="bg1"/>
                </a:solidFill>
              </a:rPr>
              <a:t> Riders per trip</a:t>
            </a:r>
            <a:endParaRPr lang="en-IN" sz="1400">
              <a:solidFill>
                <a:schemeClr val="bg1"/>
              </a:solidFill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FBFA49C-124F-4F89-883D-C5551DC86AE7}"/>
              </a:ext>
            </a:extLst>
          </xdr:cNvPr>
          <xdr:cNvSpPr txBox="1"/>
        </xdr:nvSpPr>
        <xdr:spPr>
          <a:xfrm>
            <a:off x="4657196" y="484188"/>
            <a:ext cx="1436687" cy="29368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>
                <a:solidFill>
                  <a:schemeClr val="bg1"/>
                </a:solidFill>
              </a:rPr>
              <a:t>Busiest</a:t>
            </a:r>
            <a:r>
              <a:rPr lang="en-IN" sz="1400" baseline="0">
                <a:solidFill>
                  <a:schemeClr val="bg1"/>
                </a:solidFill>
              </a:rPr>
              <a:t> Route</a:t>
            </a:r>
            <a:endParaRPr lang="en-IN" sz="1400">
              <a:solidFill>
                <a:schemeClr val="bg1"/>
              </a:solidFill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27B97A6-2CAB-48B5-B609-76F6BAC293A4}"/>
              </a:ext>
            </a:extLst>
          </xdr:cNvPr>
          <xdr:cNvSpPr txBox="1"/>
        </xdr:nvSpPr>
        <xdr:spPr>
          <a:xfrm>
            <a:off x="6069014" y="484188"/>
            <a:ext cx="1436687" cy="29368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>
                <a:solidFill>
                  <a:schemeClr val="bg1"/>
                </a:solidFill>
              </a:rPr>
              <a:t>Less</a:t>
            </a:r>
            <a:r>
              <a:rPr lang="en-IN" sz="1400" baseline="0">
                <a:solidFill>
                  <a:schemeClr val="bg1"/>
                </a:solidFill>
              </a:rPr>
              <a:t> Busy Road</a:t>
            </a:r>
            <a:endParaRPr lang="en-IN" sz="1400">
              <a:solidFill>
                <a:schemeClr val="bg1"/>
              </a:solidFill>
            </a:endParaRPr>
          </a:p>
        </xdr:txBody>
      </xdr:sp>
      <xdr:sp macro="" textlink="Sheet1!B3">
        <xdr:nvSpPr>
          <xdr:cNvPr id="18" name="TextBox 17">
            <a:extLst>
              <a:ext uri="{FF2B5EF4-FFF2-40B4-BE49-F238E27FC236}">
                <a16:creationId xmlns:a16="http://schemas.microsoft.com/office/drawing/2014/main" id="{36A806FD-1C20-4547-A298-28675623F92D}"/>
              </a:ext>
            </a:extLst>
          </xdr:cNvPr>
          <xdr:cNvSpPr txBox="1"/>
        </xdr:nvSpPr>
        <xdr:spPr>
          <a:xfrm>
            <a:off x="1426809" y="803202"/>
            <a:ext cx="1125537" cy="41116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4EB6EAE3-E3DA-43FB-9D5E-0B66349E04AA}" type="TxLink">
              <a:rPr lang="en-US" sz="24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6587</a:t>
            </a:fld>
            <a:endParaRPr lang="en-IN" sz="2400">
              <a:solidFill>
                <a:schemeClr val="bg1"/>
              </a:solidFill>
            </a:endParaRPr>
          </a:p>
        </xdr:txBody>
      </xdr:sp>
      <xdr:sp macro="" textlink="Sheet1!D3">
        <xdr:nvSpPr>
          <xdr:cNvPr id="19" name="TextBox 18">
            <a:extLst>
              <a:ext uri="{FF2B5EF4-FFF2-40B4-BE49-F238E27FC236}">
                <a16:creationId xmlns:a16="http://schemas.microsoft.com/office/drawing/2014/main" id="{F1D187D7-939C-4E52-B9A4-1D99983857D9}"/>
              </a:ext>
            </a:extLst>
          </xdr:cNvPr>
          <xdr:cNvSpPr txBox="1"/>
        </xdr:nvSpPr>
        <xdr:spPr>
          <a:xfrm>
            <a:off x="3405717" y="827087"/>
            <a:ext cx="729721" cy="29368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F219A289-4C77-4CE2-8B22-08D9D2EC1858}" type="TxLink">
              <a:rPr lang="en-US" sz="16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32.935</a:t>
            </a:fld>
            <a:endParaRPr lang="en-IN" sz="1600">
              <a:solidFill>
                <a:schemeClr val="bg1"/>
              </a:solidFill>
            </a:endParaRPr>
          </a:p>
        </xdr:txBody>
      </xdr:sp>
      <xdr:sp macro="" textlink="Sheet2!A21">
        <xdr:nvSpPr>
          <xdr:cNvPr id="20" name="TextBox 19">
            <a:extLst>
              <a:ext uri="{FF2B5EF4-FFF2-40B4-BE49-F238E27FC236}">
                <a16:creationId xmlns:a16="http://schemas.microsoft.com/office/drawing/2014/main" id="{34E05752-39B0-4530-A681-D07FBDBD3407}"/>
              </a:ext>
            </a:extLst>
          </xdr:cNvPr>
          <xdr:cNvSpPr txBox="1"/>
        </xdr:nvSpPr>
        <xdr:spPr>
          <a:xfrm>
            <a:off x="4507971" y="827087"/>
            <a:ext cx="1294342" cy="29368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826D7E71-7BC0-457D-989D-2B5B64358A74}" type="TxLink">
              <a:rPr lang="en-US" sz="16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marL="0" indent="0" algn="ctr"/>
              <a:t>East-West Express</a:t>
            </a:fld>
            <a:endParaRPr lang="en-IN" sz="16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xdr:txBody>
      </xdr:sp>
      <xdr:sp macro="" textlink="Sheet2!A25">
        <xdr:nvSpPr>
          <xdr:cNvPr id="21" name="TextBox 20">
            <a:extLst>
              <a:ext uri="{FF2B5EF4-FFF2-40B4-BE49-F238E27FC236}">
                <a16:creationId xmlns:a16="http://schemas.microsoft.com/office/drawing/2014/main" id="{4B702871-7AC9-4DD1-B863-4FC3D66E859C}"/>
              </a:ext>
            </a:extLst>
          </xdr:cNvPr>
          <xdr:cNvSpPr txBox="1"/>
        </xdr:nvSpPr>
        <xdr:spPr>
          <a:xfrm>
            <a:off x="6142040" y="827087"/>
            <a:ext cx="866774" cy="29368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6BB3DC8B-FEAD-4C24-BBC3-54FFE745C314}" type="TxLink">
              <a:rPr lang="en-US" sz="16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marL="0" indent="0" algn="ctr"/>
              <a:t>South Line</a:t>
            </a:fld>
            <a:endParaRPr lang="en-IN" sz="16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xdr:txBody>
      </xdr:sp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19A2C0BA-B89D-5AA4-EF00-F619EBD6EDCE}"/>
              </a:ext>
            </a:extLst>
          </xdr:cNvPr>
          <xdr:cNvSpPr/>
        </xdr:nvSpPr>
        <xdr:spPr>
          <a:xfrm>
            <a:off x="1571625" y="754063"/>
            <a:ext cx="5421313" cy="45719"/>
          </a:xfrm>
          <a:prstGeom prst="roundRect">
            <a:avLst/>
          </a:prstGeom>
          <a:gradFill flip="none" rotWithShape="1">
            <a:gsLst>
              <a:gs pos="0">
                <a:schemeClr val="tx1">
                  <a:lumMod val="95000"/>
                  <a:lumOff val="5000"/>
                </a:schemeClr>
              </a:gs>
              <a:gs pos="23000">
                <a:schemeClr val="bg2">
                  <a:lumMod val="25000"/>
                </a:schemeClr>
              </a:gs>
              <a:gs pos="81000">
                <a:schemeClr val="bg2">
                  <a:lumMod val="25000"/>
                </a:schemeClr>
              </a:gs>
              <a:gs pos="100000">
                <a:schemeClr val="tx1"/>
              </a:gs>
            </a:gsLst>
            <a:lin ang="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AA8614FD-2474-D4BE-CA5E-44ED5F3C24C3}"/>
              </a:ext>
            </a:extLst>
          </xdr:cNvPr>
          <xdr:cNvSpPr/>
        </xdr:nvSpPr>
        <xdr:spPr>
          <a:xfrm>
            <a:off x="1936751" y="722313"/>
            <a:ext cx="119062" cy="119062"/>
          </a:xfrm>
          <a:prstGeom prst="ellipse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B50A94CD-245E-4967-BE91-1DBA4F6190D2}"/>
              </a:ext>
            </a:extLst>
          </xdr:cNvPr>
          <xdr:cNvSpPr/>
        </xdr:nvSpPr>
        <xdr:spPr>
          <a:xfrm>
            <a:off x="3716338" y="731838"/>
            <a:ext cx="119062" cy="119062"/>
          </a:xfrm>
          <a:prstGeom prst="ellipse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63B06AAD-4024-4530-817C-FC3031E2C985}"/>
              </a:ext>
            </a:extLst>
          </xdr:cNvPr>
          <xdr:cNvSpPr/>
        </xdr:nvSpPr>
        <xdr:spPr>
          <a:xfrm>
            <a:off x="5059363" y="717551"/>
            <a:ext cx="119062" cy="119062"/>
          </a:xfrm>
          <a:prstGeom prst="ellipse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0ABFBD72-09C0-477A-9EC1-70AAA58960EC}"/>
              </a:ext>
            </a:extLst>
          </xdr:cNvPr>
          <xdr:cNvSpPr/>
        </xdr:nvSpPr>
        <xdr:spPr>
          <a:xfrm>
            <a:off x="6497638" y="711201"/>
            <a:ext cx="119062" cy="119062"/>
          </a:xfrm>
          <a:prstGeom prst="ellipse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282288</xdr:colOff>
      <xdr:row>0</xdr:row>
      <xdr:rowOff>130033</xdr:rowOff>
    </xdr:from>
    <xdr:to>
      <xdr:col>6</xdr:col>
      <xdr:colOff>579641</xdr:colOff>
      <xdr:row>2</xdr:row>
      <xdr:rowOff>98610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F2E0809-63EC-9D71-ABAA-BE097AE81CD0}"/>
            </a:ext>
          </a:extLst>
        </xdr:cNvPr>
        <xdr:cNvSpPr txBox="1"/>
      </xdr:nvSpPr>
      <xdr:spPr>
        <a:xfrm>
          <a:off x="894493" y="130033"/>
          <a:ext cx="3358379" cy="3332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rgbClr val="E2E3D9"/>
              </a:solidFill>
              <a:latin typeface="Aharoni" panose="02010803020104030203" pitchFamily="2" charset="-79"/>
              <a:cs typeface="Aharoni" panose="02010803020104030203" pitchFamily="2" charset="-79"/>
            </a:rPr>
            <a:t> Bus Utilization Dashboard</a:t>
          </a:r>
        </a:p>
      </xdr:txBody>
    </xdr:sp>
    <xdr:clientData/>
  </xdr:twoCellAnchor>
  <xdr:twoCellAnchor>
    <xdr:from>
      <xdr:col>1</xdr:col>
      <xdr:colOff>261630</xdr:colOff>
      <xdr:row>9</xdr:row>
      <xdr:rowOff>45204</xdr:rowOff>
    </xdr:from>
    <xdr:to>
      <xdr:col>9</xdr:col>
      <xdr:colOff>193729</xdr:colOff>
      <xdr:row>22</xdr:row>
      <xdr:rowOff>109780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5106AFB4-E4BA-D58F-7CC0-ECD76C687A06}"/>
            </a:ext>
          </a:extLst>
        </xdr:cNvPr>
        <xdr:cNvGrpSpPr/>
      </xdr:nvGrpSpPr>
      <xdr:grpSpPr>
        <a:xfrm>
          <a:off x="873835" y="1686435"/>
          <a:ext cx="4829740" cy="2435242"/>
          <a:chOff x="863882" y="1630861"/>
          <a:chExt cx="5558497" cy="2577392"/>
        </a:xfrm>
      </xdr:grpSpPr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9EA4653D-8BDA-48E5-9AE8-FF7D44048B3F}"/>
              </a:ext>
            </a:extLst>
          </xdr:cNvPr>
          <xdr:cNvSpPr/>
        </xdr:nvSpPr>
        <xdr:spPr>
          <a:xfrm>
            <a:off x="875238" y="1630861"/>
            <a:ext cx="5547141" cy="2553826"/>
          </a:xfrm>
          <a:prstGeom prst="roundRect">
            <a:avLst>
              <a:gd name="adj" fmla="val 5674"/>
            </a:avLst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FCE236BA-1F19-24F8-21DF-E97FE401D97A}"/>
              </a:ext>
            </a:extLst>
          </xdr:cNvPr>
          <xdr:cNvSpPr/>
        </xdr:nvSpPr>
        <xdr:spPr>
          <a:xfrm>
            <a:off x="863882" y="1651285"/>
            <a:ext cx="5546404" cy="2556968"/>
          </a:xfrm>
          <a:prstGeom prst="roundRect">
            <a:avLst>
              <a:gd name="adj" fmla="val 5674"/>
            </a:avLst>
          </a:prstGeom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93AE0C48-7461-4541-9B3A-CCC64AD3BD38}"/>
              </a:ext>
            </a:extLst>
          </xdr:cNvPr>
          <xdr:cNvSpPr txBox="1"/>
        </xdr:nvSpPr>
        <xdr:spPr>
          <a:xfrm>
            <a:off x="1019308" y="1742527"/>
            <a:ext cx="5020753" cy="3351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N" sz="1300" b="0">
                <a:solidFill>
                  <a:schemeClr val="bg1"/>
                </a:solidFill>
                <a:latin typeface="+mn-lt"/>
                <a:cs typeface="Aharoni" panose="02010803020104030203" pitchFamily="2" charset="-79"/>
              </a:rPr>
              <a:t>Bus</a:t>
            </a:r>
            <a:r>
              <a:rPr lang="en-IN" sz="1300" b="0" baseline="0">
                <a:solidFill>
                  <a:schemeClr val="bg1"/>
                </a:solidFill>
                <a:latin typeface="+mn-lt"/>
                <a:cs typeface="Aharoni" panose="02010803020104030203" pitchFamily="2" charset="-79"/>
              </a:rPr>
              <a:t> Utilization by time range (total passengers by train )</a:t>
            </a:r>
            <a:endParaRPr lang="en-IN" sz="1300" b="0">
              <a:solidFill>
                <a:schemeClr val="bg1"/>
              </a:solidFill>
              <a:latin typeface="+mn-lt"/>
              <a:cs typeface="Aharoni" panose="02010803020104030203" pitchFamily="2" charset="-79"/>
            </a:endParaRPr>
          </a:p>
        </xdr:txBody>
      </xdr:sp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B76FC6B0-B2D8-4017-BF4F-5639B2ABE80B}"/>
              </a:ext>
            </a:extLst>
          </xdr:cNvPr>
          <xdr:cNvSpPr/>
        </xdr:nvSpPr>
        <xdr:spPr>
          <a:xfrm>
            <a:off x="934940" y="1842408"/>
            <a:ext cx="119366" cy="120540"/>
          </a:xfrm>
          <a:prstGeom prst="ellipse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69780DCD-823A-4E3B-A0FD-E4760C8D5D9E}"/>
              </a:ext>
            </a:extLst>
          </xdr:cNvPr>
          <xdr:cNvGraphicFramePr>
            <a:graphicFrameLocks/>
          </xdr:cNvGraphicFramePr>
        </xdr:nvGraphicFramePr>
        <xdr:xfrm>
          <a:off x="1149713" y="2105917"/>
          <a:ext cx="3190395" cy="19347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7D134565-936F-F0C3-5529-45E03EDCAA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artisticMarker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flipH="1">
            <a:off x="5221192" y="3232240"/>
            <a:ext cx="438226" cy="399786"/>
          </a:xfrm>
          <a:prstGeom prst="rect">
            <a:avLst/>
          </a:prstGeom>
        </xdr:spPr>
      </xdr:pic>
      <xdr:pic>
        <xdr:nvPicPr>
          <xdr:cNvPr id="30" name="Picture 29">
            <a:extLst>
              <a:ext uri="{FF2B5EF4-FFF2-40B4-BE49-F238E27FC236}">
                <a16:creationId xmlns:a16="http://schemas.microsoft.com/office/drawing/2014/main" id="{92F8EF13-11B0-56C7-0621-6D41C907EF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76318" y="2098780"/>
            <a:ext cx="550292" cy="503369"/>
          </a:xfrm>
          <a:prstGeom prst="rect">
            <a:avLst/>
          </a:prstGeom>
        </xdr:spPr>
      </xdr:pic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5D45F096-4701-466C-8D9A-0A6BBE415DB2}"/>
              </a:ext>
            </a:extLst>
          </xdr:cNvPr>
          <xdr:cNvSpPr txBox="1"/>
        </xdr:nvSpPr>
        <xdr:spPr>
          <a:xfrm>
            <a:off x="4689372" y="2569742"/>
            <a:ext cx="1635554" cy="29471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>
                <a:solidFill>
                  <a:schemeClr val="bg2"/>
                </a:solidFill>
              </a:rPr>
              <a:t>Peak</a:t>
            </a:r>
            <a:r>
              <a:rPr lang="en-IN" sz="1100" baseline="0">
                <a:solidFill>
                  <a:schemeClr val="bg2"/>
                </a:solidFill>
              </a:rPr>
              <a:t> hr of operation</a:t>
            </a:r>
            <a:endParaRPr lang="en-IN" sz="1100">
              <a:solidFill>
                <a:schemeClr val="bg2"/>
              </a:solidFill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264AFA55-2F68-49B2-8299-BA3298D3EA37}"/>
              </a:ext>
            </a:extLst>
          </xdr:cNvPr>
          <xdr:cNvSpPr txBox="1"/>
        </xdr:nvSpPr>
        <xdr:spPr>
          <a:xfrm>
            <a:off x="4564122" y="3616416"/>
            <a:ext cx="1828271" cy="26921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>
                <a:solidFill>
                  <a:schemeClr val="bg2"/>
                </a:solidFill>
              </a:rPr>
              <a:t>Off</a:t>
            </a:r>
            <a:r>
              <a:rPr lang="en-IN" sz="1100" baseline="0">
                <a:solidFill>
                  <a:schemeClr val="bg2"/>
                </a:solidFill>
              </a:rPr>
              <a:t> Peak hr of operation</a:t>
            </a:r>
            <a:endParaRPr lang="en-IN" sz="1100">
              <a:solidFill>
                <a:schemeClr val="bg2"/>
              </a:solidFill>
            </a:endParaRPr>
          </a:p>
        </xdr:txBody>
      </xdr:sp>
      <xdr:sp macro="" textlink="Sheet1!G3">
        <xdr:nvSpPr>
          <xdr:cNvPr id="33" name="TextBox 32">
            <a:extLst>
              <a:ext uri="{FF2B5EF4-FFF2-40B4-BE49-F238E27FC236}">
                <a16:creationId xmlns:a16="http://schemas.microsoft.com/office/drawing/2014/main" id="{3D8009D6-72A6-4914-B66E-E5E824A4F19D}"/>
              </a:ext>
            </a:extLst>
          </xdr:cNvPr>
          <xdr:cNvSpPr txBox="1"/>
        </xdr:nvSpPr>
        <xdr:spPr>
          <a:xfrm>
            <a:off x="4797271" y="2714629"/>
            <a:ext cx="1287769" cy="29471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7A1C2DAD-6EF9-468D-972E-D4DDEA839C1A}" type="TxLink">
              <a:rPr lang="en-US" sz="20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marL="0" indent="0" algn="ctr"/>
              <a:t>8:57 PM</a:t>
            </a:fld>
            <a:endParaRPr lang="en-IN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xdr:txBody>
      </xdr:sp>
      <xdr:sp macro="" textlink="Sheet1!I3">
        <xdr:nvSpPr>
          <xdr:cNvPr id="34" name="TextBox 33">
            <a:extLst>
              <a:ext uri="{FF2B5EF4-FFF2-40B4-BE49-F238E27FC236}">
                <a16:creationId xmlns:a16="http://schemas.microsoft.com/office/drawing/2014/main" id="{39B08BE7-B9E7-4AE5-9893-2E02838D1BBE}"/>
              </a:ext>
            </a:extLst>
          </xdr:cNvPr>
          <xdr:cNvSpPr txBox="1"/>
        </xdr:nvSpPr>
        <xdr:spPr>
          <a:xfrm>
            <a:off x="4781766" y="3767338"/>
            <a:ext cx="1340756" cy="34048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98DD41B7-24D5-4838-8E46-6D37BD395AD4}" type="TxLink">
              <a:rPr lang="en-US" sz="20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marL="0" indent="0" algn="ctr"/>
              <a:t>7:50 PM</a:t>
            </a:fld>
            <a:endParaRPr lang="en-IN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</xdr:col>
      <xdr:colOff>231495</xdr:colOff>
      <xdr:row>23</xdr:row>
      <xdr:rowOff>123463</xdr:rowOff>
    </xdr:from>
    <xdr:to>
      <xdr:col>9</xdr:col>
      <xdr:colOff>154983</xdr:colOff>
      <xdr:row>33</xdr:row>
      <xdr:rowOff>6458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71481872-8318-AEBA-E66E-61EDFCB6E402}"/>
            </a:ext>
          </a:extLst>
        </xdr:cNvPr>
        <xdr:cNvGrpSpPr/>
      </xdr:nvGrpSpPr>
      <xdr:grpSpPr>
        <a:xfrm>
          <a:off x="843700" y="4317719"/>
          <a:ext cx="4821129" cy="1706585"/>
          <a:chOff x="838512" y="4282175"/>
          <a:chExt cx="5712919" cy="1734803"/>
        </a:xfrm>
      </xdr:grpSpPr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76E0D6F-4DEC-E606-DC4C-E704C9FCCE64}"/>
              </a:ext>
            </a:extLst>
          </xdr:cNvPr>
          <xdr:cNvGrpSpPr/>
        </xdr:nvGrpSpPr>
        <xdr:grpSpPr>
          <a:xfrm>
            <a:off x="838512" y="4282175"/>
            <a:ext cx="5712919" cy="1734803"/>
            <a:chOff x="1089950" y="4435033"/>
            <a:chExt cx="3983463" cy="2063240"/>
          </a:xfrm>
        </xdr:grpSpPr>
        <xdr:sp macro="" textlink="">
          <xdr:nvSpPr>
            <xdr:cNvPr id="43" name="Rectangle: Rounded Corners 42">
              <a:extLst>
                <a:ext uri="{FF2B5EF4-FFF2-40B4-BE49-F238E27FC236}">
                  <a16:creationId xmlns:a16="http://schemas.microsoft.com/office/drawing/2014/main" id="{D4E59F42-CD9F-48B0-88BA-83EBE055F3D1}"/>
                </a:ext>
              </a:extLst>
            </xdr:cNvPr>
            <xdr:cNvSpPr/>
          </xdr:nvSpPr>
          <xdr:spPr>
            <a:xfrm>
              <a:off x="1116956" y="4435033"/>
              <a:ext cx="3956457" cy="2051292"/>
            </a:xfrm>
            <a:prstGeom prst="roundRect">
              <a:avLst>
                <a:gd name="adj" fmla="val 7895"/>
              </a:avLst>
            </a:prstGeom>
            <a:solidFill>
              <a:schemeClr val="bg2"/>
            </a:solidFill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>
                <a:solidFill>
                  <a:schemeClr val="bg2"/>
                </a:solidFill>
              </a:endParaRPr>
            </a:p>
          </xdr:txBody>
        </xdr:sp>
        <xdr:sp macro="" textlink="">
          <xdr:nvSpPr>
            <xdr:cNvPr id="42" name="Rectangle: Rounded Corners 41">
              <a:extLst>
                <a:ext uri="{FF2B5EF4-FFF2-40B4-BE49-F238E27FC236}">
                  <a16:creationId xmlns:a16="http://schemas.microsoft.com/office/drawing/2014/main" id="{CEB597AB-A6A9-50D6-DB73-832ABE5C3119}"/>
                </a:ext>
              </a:extLst>
            </xdr:cNvPr>
            <xdr:cNvSpPr/>
          </xdr:nvSpPr>
          <xdr:spPr>
            <a:xfrm>
              <a:off x="1089950" y="4465898"/>
              <a:ext cx="3955700" cy="2032375"/>
            </a:xfrm>
            <a:prstGeom prst="roundRect">
              <a:avLst>
                <a:gd name="adj" fmla="val 7895"/>
              </a:avLst>
            </a:prstGeom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400">
                <a:solidFill>
                  <a:schemeClr val="bg2"/>
                </a:solidFill>
              </a:endParaRPr>
            </a:p>
          </xdr:txBody>
        </xdr:sp>
      </xdr:grpSp>
      <xdr:graphicFrame macro="">
        <xdr:nvGraphicFramePr>
          <xdr:cNvPr id="40" name="Chart 39">
            <a:extLst>
              <a:ext uri="{FF2B5EF4-FFF2-40B4-BE49-F238E27FC236}">
                <a16:creationId xmlns:a16="http://schemas.microsoft.com/office/drawing/2014/main" id="{1EA0CD2E-00CD-4C24-9476-1EB243AF4146}"/>
              </a:ext>
            </a:extLst>
          </xdr:cNvPr>
          <xdr:cNvGraphicFramePr>
            <a:graphicFrameLocks/>
          </xdr:cNvGraphicFramePr>
        </xdr:nvGraphicFramePr>
        <xdr:xfrm>
          <a:off x="1070005" y="4701153"/>
          <a:ext cx="2755363" cy="12753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71F79FD2-D894-4A35-B707-B4390652D4F4}"/>
              </a:ext>
            </a:extLst>
          </xdr:cNvPr>
          <xdr:cNvSpPr txBox="1"/>
        </xdr:nvSpPr>
        <xdr:spPr>
          <a:xfrm>
            <a:off x="1067934" y="4369221"/>
            <a:ext cx="3963173" cy="3326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N" sz="1300" b="0">
                <a:solidFill>
                  <a:schemeClr val="bg1"/>
                </a:solidFill>
                <a:latin typeface="+mn-lt"/>
                <a:cs typeface="Aharoni" panose="02010803020104030203" pitchFamily="2" charset="-79"/>
              </a:rPr>
              <a:t>Total</a:t>
            </a:r>
            <a:r>
              <a:rPr lang="en-IN" sz="1300" b="0" baseline="0">
                <a:solidFill>
                  <a:schemeClr val="bg1"/>
                </a:solidFill>
                <a:latin typeface="+mn-lt"/>
                <a:cs typeface="Aharoni" panose="02010803020104030203" pitchFamily="2" charset="-79"/>
              </a:rPr>
              <a:t> riders yearly distribution</a:t>
            </a:r>
            <a:endParaRPr lang="en-IN" sz="1300" b="0">
              <a:solidFill>
                <a:schemeClr val="bg1"/>
              </a:solidFill>
              <a:latin typeface="+mn-lt"/>
              <a:cs typeface="Aharoni" panose="02010803020104030203" pitchFamily="2" charset="-79"/>
            </a:endParaRPr>
          </a:p>
        </xdr:txBody>
      </xdr:sp>
      <xdr:sp macro="" textlink="">
        <xdr:nvSpPr>
          <xdr:cNvPr id="49" name="Oval 48">
            <a:extLst>
              <a:ext uri="{FF2B5EF4-FFF2-40B4-BE49-F238E27FC236}">
                <a16:creationId xmlns:a16="http://schemas.microsoft.com/office/drawing/2014/main" id="{725002A5-9CDA-4666-803A-F27420A5E325}"/>
              </a:ext>
            </a:extLst>
          </xdr:cNvPr>
          <xdr:cNvSpPr/>
        </xdr:nvSpPr>
        <xdr:spPr>
          <a:xfrm>
            <a:off x="963903" y="4474561"/>
            <a:ext cx="125391" cy="113297"/>
          </a:xfrm>
          <a:prstGeom prst="ellipse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620B902F-690F-0B06-25A4-B0DCAABF3526}"/>
              </a:ext>
            </a:extLst>
          </xdr:cNvPr>
          <xdr:cNvSpPr txBox="1"/>
        </xdr:nvSpPr>
        <xdr:spPr>
          <a:xfrm>
            <a:off x="3803156" y="4789868"/>
            <a:ext cx="1117577" cy="3423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 b="0">
                <a:solidFill>
                  <a:schemeClr val="bg2"/>
                </a:solidFill>
              </a:rPr>
              <a:t>YoY Change</a:t>
            </a:r>
          </a:p>
        </xdr:txBody>
      </xdr:sp>
      <xdr:sp macro="" textlink="Sheet1!K3">
        <xdr:nvSpPr>
          <xdr:cNvPr id="51" name="TextBox 50">
            <a:extLst>
              <a:ext uri="{FF2B5EF4-FFF2-40B4-BE49-F238E27FC236}">
                <a16:creationId xmlns:a16="http://schemas.microsoft.com/office/drawing/2014/main" id="{C7E89037-24DB-4755-B471-110506F13600}"/>
              </a:ext>
            </a:extLst>
          </xdr:cNvPr>
          <xdr:cNvSpPr txBox="1"/>
        </xdr:nvSpPr>
        <xdr:spPr>
          <a:xfrm>
            <a:off x="3595215" y="4984997"/>
            <a:ext cx="1180944" cy="3423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ED0C9ADA-FDFA-4987-864E-7243478A2CD3}" type="TxLink">
              <a:rPr lang="en-US" sz="155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/>
              <a:t>-83.50%</a:t>
            </a:fld>
            <a:endParaRPr lang="en-IN" sz="1550" b="1">
              <a:solidFill>
                <a:schemeClr val="bg1"/>
              </a:solidFill>
            </a:endParaRPr>
          </a:p>
        </xdr:txBody>
      </xdr:sp>
      <xdr:sp macro="" textlink="Sheet1!M3">
        <xdr:nvSpPr>
          <xdr:cNvPr id="52" name="TextBox 51">
            <a:extLst>
              <a:ext uri="{FF2B5EF4-FFF2-40B4-BE49-F238E27FC236}">
                <a16:creationId xmlns:a16="http://schemas.microsoft.com/office/drawing/2014/main" id="{05A5CCD5-1165-42D2-9F14-2A68920C3955}"/>
              </a:ext>
            </a:extLst>
          </xdr:cNvPr>
          <xdr:cNvSpPr txBox="1"/>
        </xdr:nvSpPr>
        <xdr:spPr>
          <a:xfrm>
            <a:off x="3824745" y="5203938"/>
            <a:ext cx="1113643" cy="3419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C72C232-8FD4-4F2B-98FB-698888C9AA48}" type="TxLink">
              <a:rPr lang="en-US" sz="20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/>
              <a:t>▼</a:t>
            </a:fld>
            <a:endParaRPr lang="en-IN" sz="2000" b="1">
              <a:solidFill>
                <a:schemeClr val="bg1"/>
              </a:solidFill>
            </a:endParaRPr>
          </a:p>
        </xdr:txBody>
      </xdr:sp>
      <xdr:sp macro="" textlink="">
        <xdr:nvSpPr>
          <xdr:cNvPr id="53" name="Rectangle: Rounded Corners 52">
            <a:extLst>
              <a:ext uri="{FF2B5EF4-FFF2-40B4-BE49-F238E27FC236}">
                <a16:creationId xmlns:a16="http://schemas.microsoft.com/office/drawing/2014/main" id="{44C66A18-62D6-ED0A-D358-F38411C4CE17}"/>
              </a:ext>
            </a:extLst>
          </xdr:cNvPr>
          <xdr:cNvSpPr/>
        </xdr:nvSpPr>
        <xdr:spPr>
          <a:xfrm>
            <a:off x="4884218" y="4523889"/>
            <a:ext cx="1270222" cy="1378382"/>
          </a:xfrm>
          <a:prstGeom prst="roundRect">
            <a:avLst>
              <a:gd name="adj" fmla="val 13361"/>
            </a:avLst>
          </a:prstGeom>
          <a:gradFill flip="none" rotWithShape="1">
            <a:gsLst>
              <a:gs pos="86000">
                <a:srgbClr val="6C6767"/>
              </a:gs>
              <a:gs pos="75000">
                <a:srgbClr val="5F5A5A"/>
              </a:gs>
              <a:gs pos="51000">
                <a:srgbClr val="4D4949"/>
              </a:gs>
              <a:gs pos="24000">
                <a:schemeClr val="bg2">
                  <a:lumMod val="25000"/>
                </a:schemeClr>
              </a:gs>
              <a:gs pos="100000">
                <a:schemeClr val="bg2">
                  <a:lumMod val="5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>
              <a:gradFill flip="none" rotWithShape="1">
                <a:gsLst>
                  <a:gs pos="0">
                    <a:schemeClr val="accent3">
                      <a:lumMod val="89000"/>
                    </a:schemeClr>
                  </a:gs>
                  <a:gs pos="23000">
                    <a:schemeClr val="accent3">
                      <a:lumMod val="89000"/>
                    </a:schemeClr>
                  </a:gs>
                  <a:gs pos="69000">
                    <a:schemeClr val="accent3">
                      <a:lumMod val="75000"/>
                    </a:schemeClr>
                  </a:gs>
                  <a:gs pos="97000">
                    <a:schemeClr val="accent3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</a:endParaRPr>
          </a:p>
        </xdr:txBody>
      </xdr:sp>
      <xdr:sp macro="" textlink="">
        <xdr:nvSpPr>
          <xdr:cNvPr id="54" name="Oval 53">
            <a:extLst>
              <a:ext uri="{FF2B5EF4-FFF2-40B4-BE49-F238E27FC236}">
                <a16:creationId xmlns:a16="http://schemas.microsoft.com/office/drawing/2014/main" id="{61A82D08-ABFB-A0AC-6BC1-2337FBB3BD51}"/>
              </a:ext>
            </a:extLst>
          </xdr:cNvPr>
          <xdr:cNvSpPr/>
        </xdr:nvSpPr>
        <xdr:spPr>
          <a:xfrm>
            <a:off x="5222496" y="4430285"/>
            <a:ext cx="500917" cy="490428"/>
          </a:xfrm>
          <a:prstGeom prst="ellipse">
            <a:avLst/>
          </a:prstGeom>
          <a:solidFill>
            <a:schemeClr val="bg1">
              <a:lumMod val="85000"/>
            </a:schemeClr>
          </a:solidFill>
          <a:ln w="34925">
            <a:solidFill>
              <a:schemeClr val="dk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Sheet2!C37">
        <xdr:nvSpPr>
          <xdr:cNvPr id="55" name="TextBox 54">
            <a:extLst>
              <a:ext uri="{FF2B5EF4-FFF2-40B4-BE49-F238E27FC236}">
                <a16:creationId xmlns:a16="http://schemas.microsoft.com/office/drawing/2014/main" id="{A8348C13-2AB2-E18B-F1FA-B8DF21F81543}"/>
              </a:ext>
            </a:extLst>
          </xdr:cNvPr>
          <xdr:cNvSpPr txBox="1"/>
        </xdr:nvSpPr>
        <xdr:spPr>
          <a:xfrm>
            <a:off x="4880596" y="4895090"/>
            <a:ext cx="1281553" cy="9032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50F5ED3-8C7C-4E92-9266-ADC4597C8C10}" type="TxLink">
              <a:rPr lang="en-US" sz="1200" b="0" i="0" u="none" strike="noStrike">
                <a:solidFill>
                  <a:schemeClr val="bg1">
                    <a:lumMod val="9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YoY change suggests room for improvement</a:t>
            </a:fld>
            <a:endParaRPr lang="en-IN" sz="1200">
              <a:solidFill>
                <a:schemeClr val="bg1">
                  <a:lumMod val="95000"/>
                </a:schemeClr>
              </a:solidFill>
            </a:endParaRPr>
          </a:p>
        </xdr:txBody>
      </xdr:sp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719C75D2-7981-9F24-CA1C-0E5BB286C8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54915" y="4459221"/>
            <a:ext cx="462333" cy="416287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239533</xdr:colOff>
      <xdr:row>18</xdr:row>
      <xdr:rowOff>165254</xdr:rowOff>
    </xdr:from>
    <xdr:to>
      <xdr:col>11</xdr:col>
      <xdr:colOff>360610</xdr:colOff>
      <xdr:row>19</xdr:row>
      <xdr:rowOff>102407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B3ABE965-98D4-424B-9FD1-748E9A717F08}"/>
            </a:ext>
          </a:extLst>
        </xdr:cNvPr>
        <xdr:cNvSpPr/>
      </xdr:nvSpPr>
      <xdr:spPr>
        <a:xfrm>
          <a:off x="6904738" y="3470314"/>
          <a:ext cx="121077" cy="120768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370865</xdr:colOff>
      <xdr:row>8</xdr:row>
      <xdr:rowOff>164163</xdr:rowOff>
    </xdr:from>
    <xdr:to>
      <xdr:col>14</xdr:col>
      <xdr:colOff>335799</xdr:colOff>
      <xdr:row>33</xdr:row>
      <xdr:rowOff>43882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328262B3-286E-C90A-337A-B30B8D5B749A}"/>
            </a:ext>
          </a:extLst>
        </xdr:cNvPr>
        <xdr:cNvGrpSpPr/>
      </xdr:nvGrpSpPr>
      <xdr:grpSpPr>
        <a:xfrm>
          <a:off x="5880711" y="1623035"/>
          <a:ext cx="3025960" cy="4438693"/>
          <a:chOff x="6621849" y="1649416"/>
          <a:chExt cx="3000018" cy="4400058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54BCB26F-2714-7310-B6EA-77D494ADEA36}"/>
              </a:ext>
            </a:extLst>
          </xdr:cNvPr>
          <xdr:cNvGrpSpPr/>
        </xdr:nvGrpSpPr>
        <xdr:grpSpPr>
          <a:xfrm>
            <a:off x="6621849" y="1649416"/>
            <a:ext cx="3000018" cy="4400058"/>
            <a:chOff x="6666039" y="1628918"/>
            <a:chExt cx="3288595" cy="4467083"/>
          </a:xfrm>
        </xdr:grpSpPr>
        <xdr:sp macro="" textlink="">
          <xdr:nvSpPr>
            <xdr:cNvPr id="38" name="Rectangle: Rounded Corners 37">
              <a:extLst>
                <a:ext uri="{FF2B5EF4-FFF2-40B4-BE49-F238E27FC236}">
                  <a16:creationId xmlns:a16="http://schemas.microsoft.com/office/drawing/2014/main" id="{61EA07AB-5DDE-4A7E-A9C5-49E2E098C6F5}"/>
                </a:ext>
              </a:extLst>
            </xdr:cNvPr>
            <xdr:cNvSpPr/>
          </xdr:nvSpPr>
          <xdr:spPr>
            <a:xfrm>
              <a:off x="6669285" y="1628918"/>
              <a:ext cx="3285349" cy="4455313"/>
            </a:xfrm>
            <a:prstGeom prst="roundRect">
              <a:avLst>
                <a:gd name="adj" fmla="val 7895"/>
              </a:avLst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>
                <a:solidFill>
                  <a:schemeClr val="bg2"/>
                </a:solidFill>
              </a:endParaRPr>
            </a:p>
          </xdr:txBody>
        </xdr:sp>
        <xdr:sp macro="" textlink="">
          <xdr:nvSpPr>
            <xdr:cNvPr id="36" name="Rectangle: Rounded Corners 35">
              <a:extLst>
                <a:ext uri="{FF2B5EF4-FFF2-40B4-BE49-F238E27FC236}">
                  <a16:creationId xmlns:a16="http://schemas.microsoft.com/office/drawing/2014/main" id="{E8FA6DA2-73AB-4371-9001-7C908FA209D4}"/>
                </a:ext>
              </a:extLst>
            </xdr:cNvPr>
            <xdr:cNvSpPr/>
          </xdr:nvSpPr>
          <xdr:spPr>
            <a:xfrm>
              <a:off x="6666039" y="1647662"/>
              <a:ext cx="3258322" cy="4448339"/>
            </a:xfrm>
            <a:prstGeom prst="roundRect">
              <a:avLst>
                <a:gd name="adj" fmla="val 7365"/>
              </a:avLst>
            </a:prstGeom>
            <a:ln>
              <a:noFill/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</xdr:grpSp>
      <xdr:graphicFrame macro="">
        <xdr:nvGraphicFramePr>
          <xdr:cNvPr id="35" name="Chart 34">
            <a:extLst>
              <a:ext uri="{FF2B5EF4-FFF2-40B4-BE49-F238E27FC236}">
                <a16:creationId xmlns:a16="http://schemas.microsoft.com/office/drawing/2014/main" id="{FF8D7140-0DCC-488E-B4BE-E694DD7BD7A1}"/>
              </a:ext>
            </a:extLst>
          </xdr:cNvPr>
          <xdr:cNvGraphicFramePr>
            <a:graphicFrameLocks/>
          </xdr:cNvGraphicFramePr>
        </xdr:nvGraphicFramePr>
        <xdr:xfrm>
          <a:off x="6639376" y="4060525"/>
          <a:ext cx="2915733" cy="191550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Sheet2!F43">
        <xdr:nvSpPr>
          <xdr:cNvPr id="46" name="TextBox 45">
            <a:extLst>
              <a:ext uri="{FF2B5EF4-FFF2-40B4-BE49-F238E27FC236}">
                <a16:creationId xmlns:a16="http://schemas.microsoft.com/office/drawing/2014/main" id="{2E5A0498-C845-49BD-BCFC-5B0A3C2BC657}"/>
              </a:ext>
            </a:extLst>
          </xdr:cNvPr>
          <xdr:cNvSpPr txBox="1"/>
        </xdr:nvSpPr>
        <xdr:spPr>
          <a:xfrm>
            <a:off x="6667751" y="3462998"/>
            <a:ext cx="2887357" cy="8609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2189570-6350-44AA-92F1-5D19E64C61E5}" type="TxLink">
              <a:rPr lang="en-US" sz="1100" b="0" i="0" u="none" strike="noStrike">
                <a:solidFill>
                  <a:schemeClr val="bg2"/>
                </a:solidFill>
                <a:latin typeface="Calibri"/>
                <a:ea typeface="Calibri"/>
                <a:cs typeface="Calibri"/>
              </a:rPr>
              <a:pPr algn="ctr"/>
              <a:t>Focus on highlighted weekdays: They exceeded the 941 passengers average and account for 49.4% of the Total Passengers</a:t>
            </a:fld>
            <a:endParaRPr lang="en-IN" sz="1100" b="0">
              <a:solidFill>
                <a:schemeClr val="bg2"/>
              </a:solidFill>
              <a:latin typeface="+mn-lt"/>
              <a:cs typeface="Aharoni" panose="02010803020104030203" pitchFamily="2" charset="-79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B71B7571-DB7E-483E-BB00-6205B6BA8F2E}"/>
              </a:ext>
            </a:extLst>
          </xdr:cNvPr>
          <xdr:cNvSpPr txBox="1"/>
        </xdr:nvSpPr>
        <xdr:spPr>
          <a:xfrm>
            <a:off x="6884120" y="3291364"/>
            <a:ext cx="2170173" cy="3298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N" sz="1300" b="0">
                <a:solidFill>
                  <a:schemeClr val="bg1"/>
                </a:solidFill>
                <a:latin typeface="+mn-lt"/>
                <a:cs typeface="Aharoni" panose="02010803020104030203" pitchFamily="2" charset="-79"/>
              </a:rPr>
              <a:t>Riders Weekly Distribution</a:t>
            </a:r>
          </a:p>
        </xdr:txBody>
      </xdr:sp>
    </xdr:grpSp>
    <xdr:clientData/>
  </xdr:twoCellAnchor>
  <xdr:twoCellAnchor>
    <xdr:from>
      <xdr:col>9</xdr:col>
      <xdr:colOff>439118</xdr:colOff>
      <xdr:row>11</xdr:row>
      <xdr:rowOff>12915</xdr:rowOff>
    </xdr:from>
    <xdr:to>
      <xdr:col>14</xdr:col>
      <xdr:colOff>258304</xdr:colOff>
      <xdr:row>17</xdr:row>
      <xdr:rowOff>32288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D9FBF801-B9A2-4608-99E5-6B3E871D9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15695</xdr:colOff>
      <xdr:row>9</xdr:row>
      <xdr:rowOff>67298</xdr:rowOff>
    </xdr:from>
    <xdr:to>
      <xdr:col>13</xdr:col>
      <xdr:colOff>574730</xdr:colOff>
      <xdr:row>11</xdr:row>
      <xdr:rowOff>35526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27140D7-4F4C-4E0F-BDA7-BCF1F1356724}"/>
            </a:ext>
          </a:extLst>
        </xdr:cNvPr>
        <xdr:cNvSpPr txBox="1"/>
      </xdr:nvSpPr>
      <xdr:spPr>
        <a:xfrm>
          <a:off x="6085864" y="1694620"/>
          <a:ext cx="2380086" cy="329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300" b="0">
              <a:solidFill>
                <a:schemeClr val="bg1"/>
              </a:solidFill>
              <a:latin typeface="+mn-lt"/>
              <a:cs typeface="Aharoni" panose="02010803020104030203" pitchFamily="2" charset="-79"/>
            </a:rPr>
            <a:t>Riders Monthly Distribution</a:t>
          </a:r>
        </a:p>
      </xdr:txBody>
    </xdr:sp>
    <xdr:clientData/>
  </xdr:twoCellAnchor>
  <xdr:twoCellAnchor>
    <xdr:from>
      <xdr:col>9</xdr:col>
      <xdr:colOff>535004</xdr:colOff>
      <xdr:row>18</xdr:row>
      <xdr:rowOff>110548</xdr:rowOff>
    </xdr:from>
    <xdr:to>
      <xdr:col>10</xdr:col>
      <xdr:colOff>32894</xdr:colOff>
      <xdr:row>19</xdr:row>
      <xdr:rowOff>43031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14A8A000-E0D7-4D41-978F-C48837554363}"/>
            </a:ext>
          </a:extLst>
        </xdr:cNvPr>
        <xdr:cNvSpPr/>
      </xdr:nvSpPr>
      <xdr:spPr>
        <a:xfrm>
          <a:off x="5998157" y="3365192"/>
          <a:ext cx="104906" cy="113297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532421</xdr:colOff>
      <xdr:row>10</xdr:row>
      <xdr:rowOff>4643</xdr:rowOff>
    </xdr:from>
    <xdr:to>
      <xdr:col>10</xdr:col>
      <xdr:colOff>30311</xdr:colOff>
      <xdr:row>10</xdr:row>
      <xdr:rowOff>117940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E6CE6745-A368-49C1-8044-FAD60F32A127}"/>
            </a:ext>
          </a:extLst>
        </xdr:cNvPr>
        <xdr:cNvSpPr/>
      </xdr:nvSpPr>
      <xdr:spPr>
        <a:xfrm>
          <a:off x="5995574" y="1812779"/>
          <a:ext cx="104906" cy="113297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406830</xdr:colOff>
      <xdr:row>17</xdr:row>
      <xdr:rowOff>103322</xdr:rowOff>
    </xdr:from>
    <xdr:to>
      <xdr:col>14</xdr:col>
      <xdr:colOff>258306</xdr:colOff>
      <xdr:row>17</xdr:row>
      <xdr:rowOff>154984</xdr:rowOff>
    </xdr:to>
    <xdr:sp macro="" textlink="">
      <xdr:nvSpPr>
        <xdr:cNvPr id="62" name="Rectangle: Rounded Corners 61">
          <a:extLst>
            <a:ext uri="{FF2B5EF4-FFF2-40B4-BE49-F238E27FC236}">
              <a16:creationId xmlns:a16="http://schemas.microsoft.com/office/drawing/2014/main" id="{4E26697A-42C5-49CB-A25A-8C592736831F}"/>
            </a:ext>
          </a:extLst>
        </xdr:cNvPr>
        <xdr:cNvSpPr/>
      </xdr:nvSpPr>
      <xdr:spPr>
        <a:xfrm>
          <a:off x="5869983" y="3177153"/>
          <a:ext cx="2886560" cy="51662"/>
        </a:xfrm>
        <a:prstGeom prst="roundRect">
          <a:avLst/>
        </a:prstGeom>
        <a:gradFill flip="none" rotWithShape="1">
          <a:gsLst>
            <a:gs pos="0">
              <a:schemeClr val="tx1">
                <a:lumMod val="95000"/>
                <a:lumOff val="5000"/>
              </a:schemeClr>
            </a:gs>
            <a:gs pos="23000">
              <a:schemeClr val="bg2">
                <a:lumMod val="25000"/>
              </a:schemeClr>
            </a:gs>
            <a:gs pos="81000">
              <a:schemeClr val="bg2">
                <a:lumMod val="25000"/>
              </a:schemeClr>
            </a:gs>
            <a:gs pos="100000">
              <a:schemeClr val="tx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3327</xdr:colOff>
      <xdr:row>2</xdr:row>
      <xdr:rowOff>38746</xdr:rowOff>
    </xdr:from>
    <xdr:to>
      <xdr:col>19</xdr:col>
      <xdr:colOff>542441</xdr:colOff>
      <xdr:row>32</xdr:row>
      <xdr:rowOff>142068</xdr:rowOff>
    </xdr:to>
    <xdr:sp macro="" textlink="">
      <xdr:nvSpPr>
        <xdr:cNvPr id="71" name="Rectangle: Rounded Corners 70">
          <a:extLst>
            <a:ext uri="{FF2B5EF4-FFF2-40B4-BE49-F238E27FC236}">
              <a16:creationId xmlns:a16="http://schemas.microsoft.com/office/drawing/2014/main" id="{3451C0B3-D70F-426F-A8D2-157B2B9B8F0B}"/>
            </a:ext>
          </a:extLst>
        </xdr:cNvPr>
        <xdr:cNvSpPr/>
      </xdr:nvSpPr>
      <xdr:spPr>
        <a:xfrm>
          <a:off x="9108581" y="400373"/>
          <a:ext cx="2967182" cy="5527729"/>
        </a:xfrm>
        <a:prstGeom prst="roundRect">
          <a:avLst>
            <a:gd name="adj" fmla="val 698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24886</xdr:colOff>
      <xdr:row>2</xdr:row>
      <xdr:rowOff>43195</xdr:rowOff>
    </xdr:from>
    <xdr:to>
      <xdr:col>19</xdr:col>
      <xdr:colOff>571802</xdr:colOff>
      <xdr:row>32</xdr:row>
      <xdr:rowOff>166654</xdr:rowOff>
    </xdr:to>
    <xdr:sp macro="" textlink="">
      <xdr:nvSpPr>
        <xdr:cNvPr id="63" name="Rectangle: Rounded Corners 62">
          <a:extLst>
            <a:ext uri="{FF2B5EF4-FFF2-40B4-BE49-F238E27FC236}">
              <a16:creationId xmlns:a16="http://schemas.microsoft.com/office/drawing/2014/main" id="{733D59B7-3D82-4FF1-9464-54C586EF30E5}"/>
            </a:ext>
          </a:extLst>
        </xdr:cNvPr>
        <xdr:cNvSpPr/>
      </xdr:nvSpPr>
      <xdr:spPr>
        <a:xfrm>
          <a:off x="9168886" y="415728"/>
          <a:ext cx="2985316" cy="5711459"/>
        </a:xfrm>
        <a:prstGeom prst="roundRect">
          <a:avLst>
            <a:gd name="adj" fmla="val 7365"/>
          </a:avLst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410677</xdr:colOff>
      <xdr:row>4</xdr:row>
      <xdr:rowOff>117651</xdr:rowOff>
    </xdr:from>
    <xdr:to>
      <xdr:col>19</xdr:col>
      <xdr:colOff>289733</xdr:colOff>
      <xdr:row>10</xdr:row>
      <xdr:rowOff>176266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A8791F8-4E2A-4827-9703-5CD6EB58F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190621</xdr:colOff>
      <xdr:row>4</xdr:row>
      <xdr:rowOff>124394</xdr:rowOff>
    </xdr:from>
    <xdr:to>
      <xdr:col>17</xdr:col>
      <xdr:colOff>69677</xdr:colOff>
      <xdr:row>10</xdr:row>
      <xdr:rowOff>183009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1A1B75A6-EDD0-4D04-8FDC-0EB2E92F3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360186</xdr:colOff>
      <xdr:row>12</xdr:row>
      <xdr:rowOff>109636</xdr:rowOff>
    </xdr:from>
    <xdr:to>
      <xdr:col>18</xdr:col>
      <xdr:colOff>239242</xdr:colOff>
      <xdr:row>18</xdr:row>
      <xdr:rowOff>168250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D545666C-9837-4737-9952-7FE03DB19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88435</xdr:colOff>
      <xdr:row>6</xdr:row>
      <xdr:rowOff>153845</xdr:rowOff>
    </xdr:from>
    <xdr:to>
      <xdr:col>19</xdr:col>
      <xdr:colOff>89567</xdr:colOff>
      <xdr:row>8</xdr:row>
      <xdr:rowOff>95229</xdr:rowOff>
    </xdr:to>
    <xdr:sp macro="" textlink="Sheet2!E58">
      <xdr:nvSpPr>
        <xdr:cNvPr id="65" name="TextBox 64">
          <a:extLst>
            <a:ext uri="{FF2B5EF4-FFF2-40B4-BE49-F238E27FC236}">
              <a16:creationId xmlns:a16="http://schemas.microsoft.com/office/drawing/2014/main" id="{D62FB633-BC40-768E-F401-B9ACFC299B28}"/>
            </a:ext>
          </a:extLst>
        </xdr:cNvPr>
        <xdr:cNvSpPr txBox="1"/>
      </xdr:nvSpPr>
      <xdr:spPr>
        <a:xfrm>
          <a:off x="11061235" y="1271445"/>
          <a:ext cx="610732" cy="313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F0FDE13-5185-4888-94C4-826956BBA122}" type="TxLink">
            <a:rPr lang="en-US" sz="1600" b="0" i="0" u="none" strike="noStrike">
              <a:solidFill>
                <a:srgbClr val="00B0F0"/>
              </a:solidFill>
              <a:latin typeface="Calibri"/>
              <a:ea typeface="Calibri"/>
              <a:cs typeface="Calibri"/>
            </a:rPr>
            <a:pPr/>
            <a:t>26%</a:t>
          </a:fld>
          <a:endParaRPr lang="en-IN" sz="1600">
            <a:solidFill>
              <a:srgbClr val="00B0F0"/>
            </a:solidFill>
          </a:endParaRPr>
        </a:p>
      </xdr:txBody>
    </xdr:sp>
    <xdr:clientData/>
  </xdr:twoCellAnchor>
  <xdr:twoCellAnchor>
    <xdr:from>
      <xdr:col>15</xdr:col>
      <xdr:colOff>450708</xdr:colOff>
      <xdr:row>6</xdr:row>
      <xdr:rowOff>153845</xdr:rowOff>
    </xdr:from>
    <xdr:to>
      <xdr:col>16</xdr:col>
      <xdr:colOff>451841</xdr:colOff>
      <xdr:row>8</xdr:row>
      <xdr:rowOff>95229</xdr:rowOff>
    </xdr:to>
    <xdr:sp macro="" textlink="Sheet2!E59">
      <xdr:nvSpPr>
        <xdr:cNvPr id="66" name="TextBox 65">
          <a:extLst>
            <a:ext uri="{FF2B5EF4-FFF2-40B4-BE49-F238E27FC236}">
              <a16:creationId xmlns:a16="http://schemas.microsoft.com/office/drawing/2014/main" id="{5AC91D9A-52FF-4C59-B561-986ED2EDF69D}"/>
            </a:ext>
          </a:extLst>
        </xdr:cNvPr>
        <xdr:cNvSpPr txBox="1"/>
      </xdr:nvSpPr>
      <xdr:spPr>
        <a:xfrm>
          <a:off x="9594708" y="1271445"/>
          <a:ext cx="610733" cy="313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AC396C5-C44F-4517-BDA5-FB5D39ACB0BC}" type="TxLink">
            <a:rPr lang="en-US" sz="1600" b="0" i="0" u="none" strike="noStrike">
              <a:ln>
                <a:noFill/>
              </a:ln>
              <a:solidFill>
                <a:srgbClr val="3CB7CC"/>
              </a:solidFill>
              <a:latin typeface="Calibri"/>
              <a:ea typeface="Calibri"/>
              <a:cs typeface="Calibri"/>
            </a:rPr>
            <a:pPr/>
            <a:t>25%</a:t>
          </a:fld>
          <a:endParaRPr lang="en-IN" sz="1600">
            <a:ln>
              <a:noFill/>
            </a:ln>
            <a:solidFill>
              <a:srgbClr val="3CB7CC"/>
            </a:solidFill>
          </a:endParaRPr>
        </a:p>
      </xdr:txBody>
    </xdr:sp>
    <xdr:clientData/>
  </xdr:twoCellAnchor>
  <xdr:twoCellAnchor>
    <xdr:from>
      <xdr:col>17</xdr:col>
      <xdr:colOff>40244</xdr:colOff>
      <xdr:row>14</xdr:row>
      <xdr:rowOff>139444</xdr:rowOff>
    </xdr:from>
    <xdr:to>
      <xdr:col>18</xdr:col>
      <xdr:colOff>41377</xdr:colOff>
      <xdr:row>16</xdr:row>
      <xdr:rowOff>80827</xdr:rowOff>
    </xdr:to>
    <xdr:sp macro="" textlink="Sheet2!E60">
      <xdr:nvSpPr>
        <xdr:cNvPr id="67" name="TextBox 66">
          <a:extLst>
            <a:ext uri="{FF2B5EF4-FFF2-40B4-BE49-F238E27FC236}">
              <a16:creationId xmlns:a16="http://schemas.microsoft.com/office/drawing/2014/main" id="{394A966B-A370-4EB3-A050-ACF2E0CAEA35}"/>
            </a:ext>
          </a:extLst>
        </xdr:cNvPr>
        <xdr:cNvSpPr txBox="1"/>
      </xdr:nvSpPr>
      <xdr:spPr>
        <a:xfrm>
          <a:off x="10403444" y="2747177"/>
          <a:ext cx="610733" cy="313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873215B-AEAB-48FC-B57E-ADF53A9F44AD}" type="TxLink">
            <a:rPr lang="en-US" sz="1600" b="0" i="0" u="none" strike="noStrike">
              <a:solidFill>
                <a:srgbClr val="14CBF0"/>
              </a:solidFill>
              <a:latin typeface="Calibri"/>
              <a:ea typeface="Calibri"/>
              <a:cs typeface="Calibri"/>
            </a:rPr>
            <a:pPr/>
            <a:t>49%</a:t>
          </a:fld>
          <a:endParaRPr lang="en-IN" sz="1600">
            <a:solidFill>
              <a:srgbClr val="14CBF0"/>
            </a:solidFill>
          </a:endParaRPr>
        </a:p>
      </xdr:txBody>
    </xdr:sp>
    <xdr:clientData/>
  </xdr:twoCellAnchor>
  <xdr:twoCellAnchor>
    <xdr:from>
      <xdr:col>15</xdr:col>
      <xdr:colOff>135017</xdr:colOff>
      <xdr:row>21</xdr:row>
      <xdr:rowOff>142428</xdr:rowOff>
    </xdr:from>
    <xdr:to>
      <xdr:col>19</xdr:col>
      <xdr:colOff>492415</xdr:colOff>
      <xdr:row>22</xdr:row>
      <xdr:rowOff>19930</xdr:rowOff>
    </xdr:to>
    <xdr:sp macro="" textlink="">
      <xdr:nvSpPr>
        <xdr:cNvPr id="68" name="Rectangle: Rounded Corners 67">
          <a:extLst>
            <a:ext uri="{FF2B5EF4-FFF2-40B4-BE49-F238E27FC236}">
              <a16:creationId xmlns:a16="http://schemas.microsoft.com/office/drawing/2014/main" id="{D15C0759-1F14-4D4C-93A2-75E68EFC77AA}"/>
            </a:ext>
          </a:extLst>
        </xdr:cNvPr>
        <xdr:cNvSpPr/>
      </xdr:nvSpPr>
      <xdr:spPr>
        <a:xfrm>
          <a:off x="9279017" y="4054028"/>
          <a:ext cx="2795798" cy="63769"/>
        </a:xfrm>
        <a:prstGeom prst="roundRect">
          <a:avLst/>
        </a:prstGeom>
        <a:gradFill flip="none" rotWithShape="1">
          <a:gsLst>
            <a:gs pos="0">
              <a:schemeClr val="tx1">
                <a:lumMod val="95000"/>
                <a:lumOff val="5000"/>
              </a:schemeClr>
            </a:gs>
            <a:gs pos="23000">
              <a:schemeClr val="bg2">
                <a:lumMod val="25000"/>
              </a:schemeClr>
            </a:gs>
            <a:gs pos="81000">
              <a:schemeClr val="bg2">
                <a:lumMod val="25000"/>
              </a:schemeClr>
            </a:gs>
            <a:gs pos="100000">
              <a:schemeClr val="tx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260952</xdr:colOff>
      <xdr:row>2</xdr:row>
      <xdr:rowOff>164474</xdr:rowOff>
    </xdr:from>
    <xdr:to>
      <xdr:col>19</xdr:col>
      <xdr:colOff>213497</xdr:colOff>
      <xdr:row>4</xdr:row>
      <xdr:rowOff>132702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43CE34E-2735-4EF7-9E60-9660B68AA362}"/>
            </a:ext>
          </a:extLst>
        </xdr:cNvPr>
        <xdr:cNvSpPr txBox="1"/>
      </xdr:nvSpPr>
      <xdr:spPr>
        <a:xfrm>
          <a:off x="9358299" y="537698"/>
          <a:ext cx="2378504" cy="341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300" b="0">
              <a:solidFill>
                <a:schemeClr val="bg1"/>
              </a:solidFill>
              <a:latin typeface="+mn-lt"/>
              <a:cs typeface="Aharoni" panose="02010803020104030203" pitchFamily="2" charset="-79"/>
            </a:rPr>
            <a:t>Bus</a:t>
          </a:r>
          <a:r>
            <a:rPr lang="en-IN" sz="1300" b="0" baseline="0">
              <a:solidFill>
                <a:schemeClr val="bg1"/>
              </a:solidFill>
              <a:latin typeface="+mn-lt"/>
              <a:cs typeface="Aharoni" panose="02010803020104030203" pitchFamily="2" charset="-79"/>
            </a:rPr>
            <a:t> Utilization Rate </a:t>
          </a:r>
          <a:endParaRPr lang="en-IN" sz="1300" b="0">
            <a:solidFill>
              <a:schemeClr val="bg1"/>
            </a:solidFill>
            <a:latin typeface="+mn-lt"/>
            <a:cs typeface="Aharoni" panose="02010803020104030203" pitchFamily="2" charset="-79"/>
          </a:endParaRPr>
        </a:p>
      </xdr:txBody>
    </xdr:sp>
    <xdr:clientData/>
  </xdr:twoCellAnchor>
  <xdr:twoCellAnchor>
    <xdr:from>
      <xdr:col>15</xdr:col>
      <xdr:colOff>171188</xdr:colOff>
      <xdr:row>3</xdr:row>
      <xdr:rowOff>101818</xdr:rowOff>
    </xdr:from>
    <xdr:to>
      <xdr:col>15</xdr:col>
      <xdr:colOff>275568</xdr:colOff>
      <xdr:row>4</xdr:row>
      <xdr:rowOff>28503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BCE35FB4-9A48-4D36-AEAF-30C03E318CB7}"/>
            </a:ext>
          </a:extLst>
        </xdr:cNvPr>
        <xdr:cNvSpPr/>
      </xdr:nvSpPr>
      <xdr:spPr>
        <a:xfrm>
          <a:off x="9268535" y="661655"/>
          <a:ext cx="104380" cy="113297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478629</xdr:colOff>
      <xdr:row>9</xdr:row>
      <xdr:rowOff>180648</xdr:rowOff>
    </xdr:from>
    <xdr:to>
      <xdr:col>19</xdr:col>
      <xdr:colOff>298779</xdr:colOff>
      <xdr:row>11</xdr:row>
      <xdr:rowOff>140188</xdr:rowOff>
    </xdr:to>
    <xdr:sp macro="" textlink="Sheet2!D58">
      <xdr:nvSpPr>
        <xdr:cNvPr id="72" name="TextBox 71">
          <a:extLst>
            <a:ext uri="{FF2B5EF4-FFF2-40B4-BE49-F238E27FC236}">
              <a16:creationId xmlns:a16="http://schemas.microsoft.com/office/drawing/2014/main" id="{368C8DAE-78D2-D090-F1F7-8CA928660DAC}"/>
            </a:ext>
          </a:extLst>
        </xdr:cNvPr>
        <xdr:cNvSpPr txBox="1"/>
      </xdr:nvSpPr>
      <xdr:spPr>
        <a:xfrm>
          <a:off x="10841829" y="1857048"/>
          <a:ext cx="1039350" cy="332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1250FEA-D82E-4FE6-AE89-632C2DE2A4CA}" type="TxLink">
            <a:rPr lang="en-US" sz="1200" b="0" i="0" u="none" strike="noStrike">
              <a:solidFill>
                <a:srgbClr val="00B0F0"/>
              </a:solidFill>
              <a:latin typeface="Calibri"/>
              <a:ea typeface="Calibri"/>
              <a:cs typeface="Calibri"/>
            </a:rPr>
            <a:pPr/>
            <a:t>Over Utilized</a:t>
          </a:fld>
          <a:endParaRPr lang="en-IN" sz="1200">
            <a:solidFill>
              <a:srgbClr val="00B0F0"/>
            </a:solidFill>
          </a:endParaRPr>
        </a:p>
      </xdr:txBody>
    </xdr:sp>
    <xdr:clientData/>
  </xdr:twoCellAnchor>
  <xdr:twoCellAnchor>
    <xdr:from>
      <xdr:col>15</xdr:col>
      <xdr:colOff>234480</xdr:colOff>
      <xdr:row>10</xdr:row>
      <xdr:rowOff>7867</xdr:rowOff>
    </xdr:from>
    <xdr:to>
      <xdr:col>17</xdr:col>
      <xdr:colOff>175178</xdr:colOff>
      <xdr:row>11</xdr:row>
      <xdr:rowOff>153674</xdr:rowOff>
    </xdr:to>
    <xdr:sp macro="" textlink="Sheet2!D59">
      <xdr:nvSpPr>
        <xdr:cNvPr id="73" name="TextBox 72">
          <a:extLst>
            <a:ext uri="{FF2B5EF4-FFF2-40B4-BE49-F238E27FC236}">
              <a16:creationId xmlns:a16="http://schemas.microsoft.com/office/drawing/2014/main" id="{72C9CD95-00AA-473A-A777-3FA92C6AB975}"/>
            </a:ext>
          </a:extLst>
        </xdr:cNvPr>
        <xdr:cNvSpPr txBox="1"/>
      </xdr:nvSpPr>
      <xdr:spPr>
        <a:xfrm>
          <a:off x="9378480" y="1870534"/>
          <a:ext cx="1159898" cy="332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E50E59A-7A3A-4E39-AE57-759B9C4C2342}" type="TxLink">
            <a:rPr lang="en-US" sz="1200" b="0" i="0" u="none" strike="noStrike">
              <a:solidFill>
                <a:srgbClr val="3CB7CC"/>
              </a:solidFill>
              <a:latin typeface="Calibri"/>
              <a:ea typeface="Calibri"/>
              <a:cs typeface="Calibri"/>
            </a:rPr>
            <a:pPr/>
            <a:t>Under Utilized</a:t>
          </a:fld>
          <a:endParaRPr lang="en-IN" sz="1200">
            <a:solidFill>
              <a:srgbClr val="3CB7CC"/>
            </a:solidFill>
          </a:endParaRPr>
        </a:p>
      </xdr:txBody>
    </xdr:sp>
    <xdr:clientData/>
  </xdr:twoCellAnchor>
  <xdr:twoCellAnchor>
    <xdr:from>
      <xdr:col>16</xdr:col>
      <xdr:colOff>440829</xdr:colOff>
      <xdr:row>18</xdr:row>
      <xdr:rowOff>372</xdr:rowOff>
    </xdr:from>
    <xdr:to>
      <xdr:col>18</xdr:col>
      <xdr:colOff>260978</xdr:colOff>
      <xdr:row>19</xdr:row>
      <xdr:rowOff>146178</xdr:rowOff>
    </xdr:to>
    <xdr:sp macro="" textlink="Sheet2!D60">
      <xdr:nvSpPr>
        <xdr:cNvPr id="74" name="TextBox 73">
          <a:extLst>
            <a:ext uri="{FF2B5EF4-FFF2-40B4-BE49-F238E27FC236}">
              <a16:creationId xmlns:a16="http://schemas.microsoft.com/office/drawing/2014/main" id="{76B3B587-B9DF-48F3-9F12-069C7C076ADC}"/>
            </a:ext>
          </a:extLst>
        </xdr:cNvPr>
        <xdr:cNvSpPr txBox="1"/>
      </xdr:nvSpPr>
      <xdr:spPr>
        <a:xfrm>
          <a:off x="10194429" y="3353172"/>
          <a:ext cx="1039349" cy="332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647C8EF-1811-45E2-B4AF-1BB5D50B24F7}" type="TxLink">
            <a:rPr lang="en-US" sz="1200" b="0" i="0" u="none" strike="noStrike">
              <a:solidFill>
                <a:srgbClr val="14CBF0"/>
              </a:solidFill>
              <a:latin typeface="Calibri"/>
              <a:ea typeface="Calibri"/>
              <a:cs typeface="Calibri"/>
            </a:rPr>
            <a:pPr/>
            <a:t>Well Utilized</a:t>
          </a:fld>
          <a:endParaRPr lang="en-IN" sz="1200">
            <a:solidFill>
              <a:srgbClr val="14CBF0"/>
            </a:solidFill>
          </a:endParaRPr>
        </a:p>
      </xdr:txBody>
    </xdr:sp>
    <xdr:clientData/>
  </xdr:twoCellAnchor>
  <xdr:twoCellAnchor>
    <xdr:from>
      <xdr:col>15</xdr:col>
      <xdr:colOff>273341</xdr:colOff>
      <xdr:row>11</xdr:row>
      <xdr:rowOff>19069</xdr:rowOff>
    </xdr:from>
    <xdr:to>
      <xdr:col>17</xdr:col>
      <xdr:colOff>468176</xdr:colOff>
      <xdr:row>12</xdr:row>
      <xdr:rowOff>119227</xdr:rowOff>
    </xdr:to>
    <xdr:sp macro="" textlink="Sheet2!H53">
      <xdr:nvSpPr>
        <xdr:cNvPr id="75" name="TextBox 74">
          <a:extLst>
            <a:ext uri="{FF2B5EF4-FFF2-40B4-BE49-F238E27FC236}">
              <a16:creationId xmlns:a16="http://schemas.microsoft.com/office/drawing/2014/main" id="{5B027E6E-49E2-4A1F-8FED-4FF8D121F37E}"/>
            </a:ext>
          </a:extLst>
        </xdr:cNvPr>
        <xdr:cNvSpPr txBox="1"/>
      </xdr:nvSpPr>
      <xdr:spPr>
        <a:xfrm>
          <a:off x="9417341" y="2068002"/>
          <a:ext cx="1414035" cy="286425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7B68D56-BE34-4D11-8AD4-DA8C9419841D}" type="TxLink">
            <a:rPr lang="en-US" sz="1050" b="0" i="0" u="none" strike="noStrike">
              <a:solidFill>
                <a:schemeClr val="bg1">
                  <a:lumMod val="85000"/>
                </a:schemeClr>
              </a:solidFill>
              <a:latin typeface="Calibri"/>
              <a:ea typeface="Calibri"/>
              <a:cs typeface="Calibri"/>
            </a:rPr>
            <a:pPr/>
            <a:t>19 Total Buses</a:t>
          </a:fld>
          <a:endParaRPr lang="en-IN" sz="105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17</xdr:col>
      <xdr:colOff>493175</xdr:colOff>
      <xdr:row>11</xdr:row>
      <xdr:rowOff>2885</xdr:rowOff>
    </xdr:from>
    <xdr:to>
      <xdr:col>20</xdr:col>
      <xdr:colOff>81107</xdr:colOff>
      <xdr:row>12</xdr:row>
      <xdr:rowOff>103043</xdr:rowOff>
    </xdr:to>
    <xdr:sp macro="" textlink="Sheet2!H52">
      <xdr:nvSpPr>
        <xdr:cNvPr id="76" name="TextBox 75">
          <a:extLst>
            <a:ext uri="{FF2B5EF4-FFF2-40B4-BE49-F238E27FC236}">
              <a16:creationId xmlns:a16="http://schemas.microsoft.com/office/drawing/2014/main" id="{1C371F5B-71EE-4077-86FD-EBAE24F61E6D}"/>
            </a:ext>
          </a:extLst>
        </xdr:cNvPr>
        <xdr:cNvSpPr txBox="1"/>
      </xdr:nvSpPr>
      <xdr:spPr>
        <a:xfrm>
          <a:off x="10856375" y="2051818"/>
          <a:ext cx="1416732" cy="286425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D3233CC-3036-429C-8F63-1804B050929A}" type="TxLink">
            <a:rPr lang="en-US" sz="1050" b="0" i="0" u="none" strike="noStrike">
              <a:solidFill>
                <a:schemeClr val="bg1">
                  <a:lumMod val="85000"/>
                </a:schemeClr>
              </a:solidFill>
              <a:latin typeface="Calibri"/>
              <a:ea typeface="Calibri"/>
              <a:cs typeface="Calibri"/>
            </a:rPr>
            <a:pPr/>
            <a:t>20 Total Buses</a:t>
          </a:fld>
          <a:endParaRPr lang="en-IN" sz="105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16</xdr:col>
      <xdr:colOff>429788</xdr:colOff>
      <xdr:row>19</xdr:row>
      <xdr:rowOff>6931</xdr:rowOff>
    </xdr:from>
    <xdr:to>
      <xdr:col>19</xdr:col>
      <xdr:colOff>17720</xdr:colOff>
      <xdr:row>20</xdr:row>
      <xdr:rowOff>107088</xdr:rowOff>
    </xdr:to>
    <xdr:sp macro="" textlink="Sheet2!H54">
      <xdr:nvSpPr>
        <xdr:cNvPr id="77" name="TextBox 76">
          <a:extLst>
            <a:ext uri="{FF2B5EF4-FFF2-40B4-BE49-F238E27FC236}">
              <a16:creationId xmlns:a16="http://schemas.microsoft.com/office/drawing/2014/main" id="{EF7F5A71-8163-4566-9E1E-79A933529B55}"/>
            </a:ext>
          </a:extLst>
        </xdr:cNvPr>
        <xdr:cNvSpPr txBox="1"/>
      </xdr:nvSpPr>
      <xdr:spPr>
        <a:xfrm>
          <a:off x="10183388" y="3545998"/>
          <a:ext cx="1416732" cy="286423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583427C-A811-4B78-8B72-652DE68F882B}" type="TxLink">
            <a:rPr lang="en-US" sz="1050" b="0" i="0" u="none" strike="noStrike">
              <a:solidFill>
                <a:schemeClr val="bg1">
                  <a:lumMod val="85000"/>
                </a:schemeClr>
              </a:solidFill>
              <a:latin typeface="Calibri"/>
              <a:ea typeface="Calibri"/>
              <a:cs typeface="Calibri"/>
            </a:rPr>
            <a:pPr/>
            <a:t>38 Total Buses</a:t>
          </a:fld>
          <a:endParaRPr lang="en-IN" sz="105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15</xdr:col>
      <xdr:colOff>235131</xdr:colOff>
      <xdr:row>22</xdr:row>
      <xdr:rowOff>166299</xdr:rowOff>
    </xdr:from>
    <xdr:to>
      <xdr:col>19</xdr:col>
      <xdr:colOff>495759</xdr:colOff>
      <xdr:row>24</xdr:row>
      <xdr:rowOff>165253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34996848-233A-44F1-8E52-6049868BB5E8}"/>
            </a:ext>
          </a:extLst>
        </xdr:cNvPr>
        <xdr:cNvSpPr txBox="1"/>
      </xdr:nvSpPr>
      <xdr:spPr>
        <a:xfrm>
          <a:off x="9324047" y="4205817"/>
          <a:ext cx="2684339" cy="3661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300" b="0">
              <a:solidFill>
                <a:schemeClr val="bg1"/>
              </a:solidFill>
              <a:latin typeface="+mn-lt"/>
              <a:cs typeface="Aharoni" panose="02010803020104030203" pitchFamily="2" charset="-79"/>
            </a:rPr>
            <a:t>Total</a:t>
          </a:r>
          <a:r>
            <a:rPr lang="en-IN" sz="1300" b="0" baseline="0">
              <a:solidFill>
                <a:schemeClr val="bg1"/>
              </a:solidFill>
              <a:latin typeface="+mn-lt"/>
              <a:cs typeface="Aharoni" panose="02010803020104030203" pitchFamily="2" charset="-79"/>
            </a:rPr>
            <a:t> riders base on moment of trip</a:t>
          </a:r>
          <a:endParaRPr lang="en-IN" sz="1300" b="0">
            <a:solidFill>
              <a:schemeClr val="bg1"/>
            </a:solidFill>
            <a:latin typeface="+mn-lt"/>
            <a:cs typeface="Aharoni" panose="02010803020104030203" pitchFamily="2" charset="-79"/>
          </a:endParaRPr>
        </a:p>
      </xdr:txBody>
    </xdr:sp>
    <xdr:clientData/>
  </xdr:twoCellAnchor>
  <xdr:twoCellAnchor>
    <xdr:from>
      <xdr:col>15</xdr:col>
      <xdr:colOff>145367</xdr:colOff>
      <xdr:row>23</xdr:row>
      <xdr:rowOff>103643</xdr:rowOff>
    </xdr:from>
    <xdr:to>
      <xdr:col>15</xdr:col>
      <xdr:colOff>249747</xdr:colOff>
      <xdr:row>24</xdr:row>
      <xdr:rowOff>30328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29749541-FFBF-44F0-8FBE-0CA64C3FBFED}"/>
            </a:ext>
          </a:extLst>
        </xdr:cNvPr>
        <xdr:cNvSpPr/>
      </xdr:nvSpPr>
      <xdr:spPr>
        <a:xfrm>
          <a:off x="9248907" y="4291271"/>
          <a:ext cx="104380" cy="108756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124856</xdr:colOff>
      <xdr:row>25</xdr:row>
      <xdr:rowOff>137711</xdr:rowOff>
    </xdr:from>
    <xdr:to>
      <xdr:col>16</xdr:col>
      <xdr:colOff>82626</xdr:colOff>
      <xdr:row>28</xdr:row>
      <xdr:rowOff>49576</xdr:rowOff>
    </xdr:to>
    <xdr:sp macro="" textlink="">
      <xdr:nvSpPr>
        <xdr:cNvPr id="80" name="Rectangle: Rounded Corners 79">
          <a:extLst>
            <a:ext uri="{FF2B5EF4-FFF2-40B4-BE49-F238E27FC236}">
              <a16:creationId xmlns:a16="http://schemas.microsoft.com/office/drawing/2014/main" id="{8E84B362-4FCF-BA01-1E09-76C2E45D2E2B}"/>
            </a:ext>
          </a:extLst>
        </xdr:cNvPr>
        <xdr:cNvSpPr/>
      </xdr:nvSpPr>
      <xdr:spPr>
        <a:xfrm>
          <a:off x="9213772" y="4728072"/>
          <a:ext cx="563697" cy="462709"/>
        </a:xfrm>
        <a:prstGeom prst="roundRect">
          <a:avLst/>
        </a:prstGeom>
        <a:solidFill>
          <a:srgbClr val="3CB7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115675</xdr:colOff>
      <xdr:row>29</xdr:row>
      <xdr:rowOff>5508</xdr:rowOff>
    </xdr:from>
    <xdr:to>
      <xdr:col>16</xdr:col>
      <xdr:colOff>73445</xdr:colOff>
      <xdr:row>31</xdr:row>
      <xdr:rowOff>100988</xdr:rowOff>
    </xdr:to>
    <xdr:sp macro="" textlink="">
      <xdr:nvSpPr>
        <xdr:cNvPr id="81" name="Rectangle: Rounded Corners 80">
          <a:extLst>
            <a:ext uri="{FF2B5EF4-FFF2-40B4-BE49-F238E27FC236}">
              <a16:creationId xmlns:a16="http://schemas.microsoft.com/office/drawing/2014/main" id="{57C9AEBA-738D-4606-86C8-BB07D94E0373}"/>
            </a:ext>
          </a:extLst>
        </xdr:cNvPr>
        <xdr:cNvSpPr/>
      </xdr:nvSpPr>
      <xdr:spPr>
        <a:xfrm>
          <a:off x="9204591" y="5330327"/>
          <a:ext cx="563697" cy="462709"/>
        </a:xfrm>
        <a:prstGeom prst="roundRect">
          <a:avLst/>
        </a:prstGeom>
        <a:solidFill>
          <a:srgbClr val="14CB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217308</xdr:colOff>
      <xdr:row>25</xdr:row>
      <xdr:rowOff>167927</xdr:rowOff>
    </xdr:from>
    <xdr:to>
      <xdr:col>15</xdr:col>
      <xdr:colOff>596746</xdr:colOff>
      <xdr:row>28</xdr:row>
      <xdr:rowOff>1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D3892EF4-A6A1-4064-9D03-1F4A58255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biLevel thresh="25000"/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artisticMarker/>
                  </a14:imgEffect>
                  <a14:imgEffect>
                    <a14:colorTemperature colorTemp="7200"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306224" y="4758288"/>
          <a:ext cx="379438" cy="382918"/>
        </a:xfrm>
        <a:prstGeom prst="rect">
          <a:avLst/>
        </a:prstGeom>
      </xdr:spPr>
    </xdr:pic>
    <xdr:clientData/>
  </xdr:twoCellAnchor>
  <xdr:twoCellAnchor>
    <xdr:from>
      <xdr:col>16</xdr:col>
      <xdr:colOff>110757</xdr:colOff>
      <xdr:row>25</xdr:row>
      <xdr:rowOff>66937</xdr:rowOff>
    </xdr:from>
    <xdr:to>
      <xdr:col>20</xdr:col>
      <xdr:colOff>371385</xdr:colOff>
      <xdr:row>27</xdr:row>
      <xdr:rowOff>65891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B0CE35DB-56D2-4F4E-A890-9C0721C04BA9}"/>
            </a:ext>
          </a:extLst>
        </xdr:cNvPr>
        <xdr:cNvSpPr txBox="1"/>
      </xdr:nvSpPr>
      <xdr:spPr>
        <a:xfrm>
          <a:off x="9805600" y="4657298"/>
          <a:ext cx="2684339" cy="3661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100" b="0">
              <a:solidFill>
                <a:schemeClr val="bg1"/>
              </a:solidFill>
              <a:latin typeface="+mn-lt"/>
              <a:cs typeface="Aharoni" panose="02010803020104030203" pitchFamily="2" charset="-79"/>
            </a:rPr>
            <a:t>Total</a:t>
          </a:r>
          <a:r>
            <a:rPr lang="en-IN" sz="1100" b="0" baseline="0">
              <a:solidFill>
                <a:schemeClr val="bg1"/>
              </a:solidFill>
              <a:latin typeface="+mn-lt"/>
              <a:cs typeface="Aharoni" panose="02010803020104030203" pitchFamily="2" charset="-79"/>
            </a:rPr>
            <a:t> riders by </a:t>
          </a:r>
          <a:r>
            <a:rPr lang="en-IN" sz="1100" b="0" baseline="0">
              <a:solidFill>
                <a:srgbClr val="3CB7CC"/>
              </a:solidFill>
              <a:latin typeface="+mn-lt"/>
              <a:cs typeface="Aharoni" panose="02010803020104030203" pitchFamily="2" charset="-79"/>
            </a:rPr>
            <a:t>AM</a:t>
          </a:r>
          <a:endParaRPr lang="en-IN" sz="1100" b="0">
            <a:solidFill>
              <a:srgbClr val="3CB7CC"/>
            </a:solidFill>
            <a:latin typeface="+mn-lt"/>
            <a:cs typeface="Aharoni" panose="02010803020104030203" pitchFamily="2" charset="-79"/>
          </a:endParaRPr>
        </a:p>
      </xdr:txBody>
    </xdr:sp>
    <xdr:clientData/>
  </xdr:twoCellAnchor>
  <xdr:twoCellAnchor>
    <xdr:from>
      <xdr:col>15</xdr:col>
      <xdr:colOff>220925</xdr:colOff>
      <xdr:row>29</xdr:row>
      <xdr:rowOff>39395</xdr:rowOff>
    </xdr:from>
    <xdr:to>
      <xdr:col>16</xdr:col>
      <xdr:colOff>2494</xdr:colOff>
      <xdr:row>31</xdr:row>
      <xdr:rowOff>64266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E7CFD894-A087-4559-8CE3-3B4B773DD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prstClr val="black"/>
            <a:srgbClr val="D9C3A5">
              <a:tint val="50000"/>
              <a:satMod val="18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9841" y="5364214"/>
          <a:ext cx="387496" cy="392100"/>
        </a:xfrm>
        <a:prstGeom prst="rect">
          <a:avLst/>
        </a:prstGeom>
      </xdr:spPr>
    </xdr:pic>
    <xdr:clientData/>
  </xdr:twoCellAnchor>
  <xdr:twoCellAnchor>
    <xdr:from>
      <xdr:col>16</xdr:col>
      <xdr:colOff>143808</xdr:colOff>
      <xdr:row>28</xdr:row>
      <xdr:rowOff>145891</xdr:rowOff>
    </xdr:from>
    <xdr:to>
      <xdr:col>20</xdr:col>
      <xdr:colOff>404436</xdr:colOff>
      <xdr:row>30</xdr:row>
      <xdr:rowOff>144845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272BD479-C97E-422A-8E22-29311A76E917}"/>
            </a:ext>
          </a:extLst>
        </xdr:cNvPr>
        <xdr:cNvSpPr txBox="1"/>
      </xdr:nvSpPr>
      <xdr:spPr>
        <a:xfrm>
          <a:off x="9838651" y="5287096"/>
          <a:ext cx="2684339" cy="3661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100" b="0">
              <a:solidFill>
                <a:schemeClr val="bg1"/>
              </a:solidFill>
              <a:latin typeface="+mn-lt"/>
              <a:cs typeface="Aharoni" panose="02010803020104030203" pitchFamily="2" charset="-79"/>
            </a:rPr>
            <a:t>Total</a:t>
          </a:r>
          <a:r>
            <a:rPr lang="en-IN" sz="1100" b="0" baseline="0">
              <a:solidFill>
                <a:schemeClr val="bg1"/>
              </a:solidFill>
              <a:latin typeface="+mn-lt"/>
              <a:cs typeface="Aharoni" panose="02010803020104030203" pitchFamily="2" charset="-79"/>
            </a:rPr>
            <a:t> riders by </a:t>
          </a:r>
          <a:r>
            <a:rPr lang="en-IN" sz="1100" b="0" baseline="0">
              <a:solidFill>
                <a:srgbClr val="14CBF0"/>
              </a:solidFill>
              <a:latin typeface="+mn-lt"/>
              <a:cs typeface="Aharoni" panose="02010803020104030203" pitchFamily="2" charset="-79"/>
            </a:rPr>
            <a:t>PM</a:t>
          </a:r>
          <a:endParaRPr lang="en-IN" sz="1100" b="0">
            <a:solidFill>
              <a:srgbClr val="14CBF0"/>
            </a:solidFill>
            <a:latin typeface="+mn-lt"/>
            <a:cs typeface="Aharoni" panose="02010803020104030203" pitchFamily="2" charset="-79"/>
          </a:endParaRPr>
        </a:p>
      </xdr:txBody>
    </xdr:sp>
    <xdr:clientData/>
  </xdr:twoCellAnchor>
  <xdr:twoCellAnchor>
    <xdr:from>
      <xdr:col>16</xdr:col>
      <xdr:colOff>167055</xdr:colOff>
      <xdr:row>26</xdr:row>
      <xdr:rowOff>122829</xdr:rowOff>
    </xdr:from>
    <xdr:to>
      <xdr:col>20</xdr:col>
      <xdr:colOff>427683</xdr:colOff>
      <xdr:row>28</xdr:row>
      <xdr:rowOff>121783</xdr:rowOff>
    </xdr:to>
    <xdr:sp macro="" textlink="Sheet2!B60">
      <xdr:nvSpPr>
        <xdr:cNvPr id="86" name="TextBox 85">
          <a:extLst>
            <a:ext uri="{FF2B5EF4-FFF2-40B4-BE49-F238E27FC236}">
              <a16:creationId xmlns:a16="http://schemas.microsoft.com/office/drawing/2014/main" id="{C6187B9D-A32D-40B3-BF1B-CA3567DA6999}"/>
            </a:ext>
          </a:extLst>
        </xdr:cNvPr>
        <xdr:cNvSpPr txBox="1"/>
      </xdr:nvSpPr>
      <xdr:spPr>
        <a:xfrm>
          <a:off x="9905319" y="4857772"/>
          <a:ext cx="2695194" cy="3631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FBF8B3CA-D482-4D36-9A8F-09DBC508097C}" type="TxLink">
            <a:rPr lang="en-US" sz="2000" b="0" i="0" u="none" strike="noStrike">
              <a:pattFill prst="pct5">
                <a:fgClr>
                  <a:schemeClr val="dk1"/>
                </a:fgClr>
                <a:bgClr>
                  <a:srgbClr val="3CB7CC"/>
                </a:bgClr>
              </a:pattFill>
              <a:effectLst>
                <a:outerShdw blurRad="50800" dist="50800" dir="5400000" algn="ctr" rotWithShape="0">
                  <a:srgbClr val="3CB7CC"/>
                </a:outerShdw>
              </a:effectLst>
              <a:latin typeface="Calibri"/>
              <a:ea typeface="Calibri"/>
              <a:cs typeface="Calibri"/>
            </a:rPr>
            <a:pPr algn="l"/>
            <a:t>35.39%</a:t>
          </a:fld>
          <a:endParaRPr lang="en-IN" sz="2000" b="0">
            <a:pattFill prst="pct5">
              <a:fgClr>
                <a:schemeClr val="dk1"/>
              </a:fgClr>
              <a:bgClr>
                <a:srgbClr val="3CB7CC"/>
              </a:bgClr>
            </a:pattFill>
            <a:effectLst>
              <a:outerShdw blurRad="50800" dist="50800" dir="5400000" algn="ctr" rotWithShape="0">
                <a:srgbClr val="3CB7CC"/>
              </a:outerShdw>
            </a:effectLst>
            <a:latin typeface="+mn-lt"/>
            <a:cs typeface="Aharoni" panose="02010803020104030203" pitchFamily="2" charset="-79"/>
          </a:endParaRPr>
        </a:p>
      </xdr:txBody>
    </xdr:sp>
    <xdr:clientData/>
  </xdr:twoCellAnchor>
  <xdr:twoCellAnchor>
    <xdr:from>
      <xdr:col>16</xdr:col>
      <xdr:colOff>160185</xdr:colOff>
      <xdr:row>30</xdr:row>
      <xdr:rowOff>14839</xdr:rowOff>
    </xdr:from>
    <xdr:to>
      <xdr:col>20</xdr:col>
      <xdr:colOff>420813</xdr:colOff>
      <xdr:row>32</xdr:row>
      <xdr:rowOff>13794</xdr:rowOff>
    </xdr:to>
    <xdr:sp macro="" textlink="Sheet2!B61">
      <xdr:nvSpPr>
        <xdr:cNvPr id="87" name="TextBox 86">
          <a:extLst>
            <a:ext uri="{FF2B5EF4-FFF2-40B4-BE49-F238E27FC236}">
              <a16:creationId xmlns:a16="http://schemas.microsoft.com/office/drawing/2014/main" id="{170C8FB0-2758-481D-8082-A8033014DA59}"/>
            </a:ext>
          </a:extLst>
        </xdr:cNvPr>
        <xdr:cNvSpPr txBox="1"/>
      </xdr:nvSpPr>
      <xdr:spPr>
        <a:xfrm>
          <a:off x="9913785" y="5602839"/>
          <a:ext cx="2699028" cy="3714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F6FC4DBA-80C0-4B13-970E-5B420C30E9B2}" type="TxLink">
            <a:rPr lang="en-US" sz="2000" b="0" i="0" u="none" strike="noStrike">
              <a:pattFill prst="pct5">
                <a:fgClr>
                  <a:schemeClr val="dk1"/>
                </a:fgClr>
                <a:bgClr>
                  <a:srgbClr val="14CBF0"/>
                </a:bgClr>
              </a:pattFill>
              <a:effectLst>
                <a:outerShdw blurRad="50800" dist="50800" dir="5400000" algn="ctr" rotWithShape="0">
                  <a:srgbClr val="3CB7CC"/>
                </a:outerShdw>
              </a:effectLst>
              <a:latin typeface="Calibri"/>
              <a:ea typeface="Calibri"/>
              <a:cs typeface="Calibri"/>
            </a:rPr>
            <a:pPr algn="l"/>
            <a:t>64.61%</a:t>
          </a:fld>
          <a:endParaRPr lang="en-IN" sz="2000" b="1">
            <a:pattFill prst="pct5">
              <a:fgClr>
                <a:schemeClr val="dk1"/>
              </a:fgClr>
              <a:bgClr>
                <a:srgbClr val="14CBF0"/>
              </a:bgClr>
            </a:pattFill>
            <a:effectLst>
              <a:outerShdw blurRad="50800" dist="50800" dir="5400000" algn="ctr" rotWithShape="0">
                <a:srgbClr val="3CB7CC"/>
              </a:outerShdw>
            </a:effectLst>
            <a:latin typeface="+mn-lt"/>
            <a:cs typeface="Aharoni" panose="02010803020104030203" pitchFamily="2" charset="-79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yati Sethia" refreshedDate="46230.954775347222" createdVersion="8" refreshedVersion="8" minRefreshableVersion="3" recordCount="0" supportSubquery="1" supportAdvancedDrill="1" xr:uid="{38ECAE62-2192-40FB-84D9-31AE67CD861D}">
  <cacheSource type="external" connectionId="7"/>
  <cacheFields count="5">
    <cacheField name="[Measures].[Sum of NumberOfRiders]" caption="Sum of NumberOfRiders" numFmtId="0" hierarchy="50" level="32767"/>
    <cacheField name="[Facttable_ridership].[Time Group].[Time Group]" caption="Time Group" numFmtId="0" hierarchy="32" level="1">
      <sharedItems count="6">
        <s v="03:00 PM - 06:00 PM"/>
        <s v="06:00 AM - 09:00 AM"/>
        <s v="06:00 PM - 09:00 PM"/>
        <s v="09:00 AM - 12:00 PM"/>
        <s v="09:00 PM - 12:00 AM"/>
        <s v="12:00 PM - 03:00 PM"/>
      </sharedItems>
    </cacheField>
    <cacheField name="[Facttable_ridership].[Time].[Time]" caption="Time" numFmtId="0" hierarchy="28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20:57:00]"/>
          </x15:cachedUniqueNames>
        </ext>
      </extLst>
    </cacheField>
    <cacheField name="[Facttable_ridership].[Time_new].[Time_new]" caption="Time_new" numFmtId="0" hierarchy="31" level="1">
      <sharedItems count="1">
        <s v="7:50 PM"/>
      </sharedItems>
    </cacheField>
    <cacheField name="[Facttable_ridership].[Bus Utilization Category].[Bus Utilization Category]" caption="Bus Utilization Category" numFmtId="0" hierarchy="35" level="1">
      <sharedItems count="3">
        <s v="Over Utilized"/>
        <s v="Under Utilized"/>
        <s v="Well Utilized"/>
      </sharedItems>
    </cacheField>
  </cacheFields>
  <cacheHierarchies count="63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130" unbalanced="0"/>
    <cacheHierarchy uniqueName="[Dim_DateTable].[Month_num]" caption="Month_num" attribute="1" defaultMemberUniqueName="[Dim_DateTable].[Month_num].[All]" allUniqueName="[Dim_DateTable].[Month_num].[All]" dimensionUniqueName="[Dim_DateTable]" displayFolder="" count="0" memberValueDatatype="20" unbalanced="0"/>
    <cacheHierarchy uniqueName="[Dim_DateTable].[week_type]" caption="week_type" attribute="1" defaultMemberUniqueName="[Dim_DateTable].[week_type].[All]" allUniqueName="[Dim_DateTable].[week_typ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Name new]" caption="Day Name new" attribute="1" defaultMemberUniqueName="[Dim_DateTable].[Day Name new].[All]" allUniqueName="[Dim_DateTable].[Day Name new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_new]" caption="Time_new" attribute="1" defaultMemberUniqueName="[Facttable_ridership].[Time_new].[All]" allUniqueName="[Facttable_ridership].[Time_new].[All]" dimensionUniqueName="[Facttable_ridership]" displayFolder="" count="2" memberValueDatatype="130" unbalanced="0">
      <fieldsUsage count="2">
        <fieldUsage x="-1"/>
        <fieldUsage x="3"/>
      </fieldsUsage>
    </cacheHierarchy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1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2" memberValueDatatype="130" unbalanced="0">
      <fieldsUsage count="2">
        <fieldUsage x="-1"/>
        <fieldUsage x="4"/>
      </fieldsUsage>
    </cacheHierarchy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ime Group]" caption="Count of Time Group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Avg rider per bus]" caption="Avg rider per bus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yati Sethia" refreshedDate="46230.9547775463" createdVersion="8" refreshedVersion="8" minRefreshableVersion="3" recordCount="0" supportSubquery="1" supportAdvancedDrill="1" xr:uid="{D28D9232-6FD0-4723-B81A-91CF5AB77E00}">
  <cacheSource type="external" connectionId="7"/>
  <cacheFields count="5">
    <cacheField name="[Measures].[Sum of NumberOfRiders]" caption="Sum of NumberOfRiders" numFmtId="0" hierarchy="50" level="32767"/>
    <cacheField name="[Facttable_ridership].[Time Group].[Time Group]" caption="Time Group" numFmtId="0" hierarchy="32" level="1">
      <sharedItems count="6">
        <s v="03:00 PM - 06:00 PM"/>
        <s v="06:00 AM - 09:00 AM"/>
        <s v="06:00 PM - 09:00 PM"/>
        <s v="09:00 AM - 12:00 PM"/>
        <s v="09:00 PM - 12:00 AM"/>
        <s v="12:00 PM - 03:00 PM"/>
      </sharedItems>
    </cacheField>
    <cacheField name="[Facttable_ridership].[Time].[Time]" caption="Time" numFmtId="0" hierarchy="28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20:57:00]"/>
          </x15:cachedUniqueNames>
        </ext>
      </extLst>
    </cacheField>
    <cacheField name="[Facttable_ridership].[Time_new].[Time_new]" caption="Time_new" numFmtId="0" hierarchy="31" level="1">
      <sharedItems count="1">
        <s v="7:50 PM"/>
      </sharedItems>
    </cacheField>
    <cacheField name="[Dim_DateTable].[Day Name new].[Day Name new]" caption="Day Name new" numFmtId="0" hierarchy="12" level="1">
      <sharedItems count="7">
        <s v="Fri"/>
        <s v="Mon"/>
        <s v="Sat"/>
        <s v="Sun"/>
        <s v="Thu"/>
        <s v="Tue"/>
        <s v="Wed"/>
      </sharedItems>
    </cacheField>
  </cacheFields>
  <cacheHierarchies count="63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130" unbalanced="0"/>
    <cacheHierarchy uniqueName="[Dim_DateTable].[Month_num]" caption="Month_num" attribute="1" defaultMemberUniqueName="[Dim_DateTable].[Month_num].[All]" allUniqueName="[Dim_DateTable].[Month_num].[All]" dimensionUniqueName="[Dim_DateTable]" displayFolder="" count="0" memberValueDatatype="20" unbalanced="0"/>
    <cacheHierarchy uniqueName="[Dim_DateTable].[week_type]" caption="week_type" attribute="1" defaultMemberUniqueName="[Dim_DateTable].[week_type].[All]" allUniqueName="[Dim_DateTable].[week_typ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Name new]" caption="Day Name new" attribute="1" defaultMemberUniqueName="[Dim_DateTable].[Day Name new].[All]" allUniqueName="[Dim_DateTable].[Day Name new].[All]" dimensionUniqueName="[Dim_DateTable]" displayFolder="" count="2" memberValueDatatype="130" unbalanced="0">
      <fieldsUsage count="2">
        <fieldUsage x="-1"/>
        <fieldUsage x="4"/>
      </fieldsUsage>
    </cacheHierarchy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_new]" caption="Time_new" attribute="1" defaultMemberUniqueName="[Facttable_ridership].[Time_new].[All]" allUniqueName="[Facttable_ridership].[Time_new].[All]" dimensionUniqueName="[Facttable_ridership]" displayFolder="" count="2" memberValueDatatype="130" unbalanced="0">
      <fieldsUsage count="2">
        <fieldUsage x="-1"/>
        <fieldUsage x="3"/>
      </fieldsUsage>
    </cacheHierarchy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1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ime Group]" caption="Count of Time Group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Avg rider per bus]" caption="Avg rider per bus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yati Sethia" refreshedDate="46230.954781365741" createdVersion="8" refreshedVersion="8" minRefreshableVersion="3" recordCount="0" supportSubquery="1" supportAdvancedDrill="1" xr:uid="{EB98F39F-B621-4AA1-B273-B7F56A6EF3DF}">
  <cacheSource type="external" connectionId="7"/>
  <cacheFields count="5">
    <cacheField name="[Measures].[Sum of NumberOfRiders]" caption="Sum of NumberOfRiders" numFmtId="0" hierarchy="50" level="32767"/>
    <cacheField name="[Facttable_ridership].[Time Group].[Time Group]" caption="Time Group" numFmtId="0" hierarchy="32" level="1">
      <sharedItems count="6">
        <s v="03:00 PM - 06:00 PM"/>
        <s v="06:00 AM - 09:00 AM"/>
        <s v="06:00 PM - 09:00 PM"/>
        <s v="09:00 AM - 12:00 PM"/>
        <s v="09:00 PM - 12:00 AM"/>
        <s v="12:00 PM - 03:00 PM"/>
      </sharedItems>
    </cacheField>
    <cacheField name="[Facttable_ridership].[Time].[Time]" caption="Time" numFmtId="0" hierarchy="28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20:57:00]"/>
          </x15:cachedUniqueNames>
        </ext>
      </extLst>
    </cacheField>
    <cacheField name="[Facttable_ridership].[Time_new].[Time_new]" caption="Time_new" numFmtId="0" hierarchy="31" level="1">
      <sharedItems count="1">
        <s v="7:50 PM"/>
      </sharedItems>
    </cacheField>
    <cacheField name="[Dim_DateTable].[Year].[Year]" caption="Year" numFmtId="0" hierarchy="6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m_DateTable].[Year].&amp;[2023]"/>
            <x15:cachedUniqueName index="1" name="[Dim_DateTable].[Year].&amp;[2024]"/>
          </x15:cachedUniqueNames>
        </ext>
      </extLst>
    </cacheField>
  </cacheFields>
  <cacheHierarchies count="63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2" memberValueDatatype="20" unbalanced="0">
      <fieldsUsage count="2">
        <fieldUsage x="-1"/>
        <fieldUsage x="4"/>
      </fieldsUsage>
    </cacheHierarchy>
    <cacheHierarchy uniqueName="[Dim_DateTable].[Month]" caption="Month" attribute="1" defaultMemberUniqueName="[Dim_DateTable].[Month].[All]" allUniqueName="[Dim_DateTable].[Month].[All]" dimensionUniqueName="[Dim_DateTable]" displayFolder="" count="0" memberValueDatatype="130" unbalanced="0"/>
    <cacheHierarchy uniqueName="[Dim_DateTable].[Month_num]" caption="Month_num" attribute="1" defaultMemberUniqueName="[Dim_DateTable].[Month_num].[All]" allUniqueName="[Dim_DateTable].[Month_num].[All]" dimensionUniqueName="[Dim_DateTable]" displayFolder="" count="0" memberValueDatatype="20" unbalanced="0"/>
    <cacheHierarchy uniqueName="[Dim_DateTable].[week_type]" caption="week_type" attribute="1" defaultMemberUniqueName="[Dim_DateTable].[week_type].[All]" allUniqueName="[Dim_DateTable].[week_typ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Name new]" caption="Day Name new" attribute="1" defaultMemberUniqueName="[Dim_DateTable].[Day Name new].[All]" allUniqueName="[Dim_DateTable].[Day Name new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_new]" caption="Time_new" attribute="1" defaultMemberUniqueName="[Facttable_ridership].[Time_new].[All]" allUniqueName="[Facttable_ridership].[Time_new].[All]" dimensionUniqueName="[Facttable_ridership]" displayFolder="" count="2" memberValueDatatype="130" unbalanced="0">
      <fieldsUsage count="2">
        <fieldUsage x="-1"/>
        <fieldUsage x="3"/>
      </fieldsUsage>
    </cacheHierarchy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1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ime Group]" caption="Count of Time Group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Avg rider per bus]" caption="Avg rider per bus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yati Sethia" refreshedDate="46230.95478472222" createdVersion="8" refreshedVersion="8" minRefreshableVersion="3" recordCount="0" supportSubquery="1" supportAdvancedDrill="1" xr:uid="{22B7F0DE-92BB-4325-9549-943821267E01}">
  <cacheSource type="external" connectionId="7"/>
  <cacheFields count="4">
    <cacheField name="[Measures].[Sum of NumberOfRiders]" caption="Sum of NumberOfRiders" numFmtId="0" hierarchy="50" level="32767"/>
    <cacheField name="[Facttable_ridership].[Time Group].[Time Group]" caption="Time Group" numFmtId="0" hierarchy="32" level="1">
      <sharedItems count="6">
        <s v="03:00 PM - 06:00 PM"/>
        <s v="06:00 AM - 09:00 AM"/>
        <s v="06:00 PM - 09:00 PM"/>
        <s v="09:00 AM - 12:00 PM"/>
        <s v="09:00 PM - 12:00 AM"/>
        <s v="12:00 PM - 03:00 PM"/>
      </sharedItems>
    </cacheField>
    <cacheField name="[Facttable_ridership].[Time].[Time]" caption="Time" numFmtId="0" hierarchy="28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20:57:00]"/>
          </x15:cachedUniqueNames>
        </ext>
      </extLst>
    </cacheField>
    <cacheField name="[Facttable_ridership].[Time_new].[Time_new]" caption="Time_new" numFmtId="0" hierarchy="31" level="1">
      <sharedItems count="1">
        <s v="8:57 PM"/>
      </sharedItems>
    </cacheField>
  </cacheFields>
  <cacheHierarchies count="63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130" unbalanced="0"/>
    <cacheHierarchy uniqueName="[Dim_DateTable].[Month_num]" caption="Month_num" attribute="1" defaultMemberUniqueName="[Dim_DateTable].[Month_num].[All]" allUniqueName="[Dim_DateTable].[Month_num].[All]" dimensionUniqueName="[Dim_DateTable]" displayFolder="" count="0" memberValueDatatype="20" unbalanced="0"/>
    <cacheHierarchy uniqueName="[Dim_DateTable].[week_type]" caption="week_type" attribute="1" defaultMemberUniqueName="[Dim_DateTable].[week_type].[All]" allUniqueName="[Dim_DateTable].[week_typ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Name new]" caption="Day Name new" attribute="1" defaultMemberUniqueName="[Dim_DateTable].[Day Name new].[All]" allUniqueName="[Dim_DateTable].[Day Name new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_new]" caption="Time_new" attribute="1" defaultMemberUniqueName="[Facttable_ridership].[Time_new].[All]" allUniqueName="[Facttable_ridership].[Time_new].[All]" dimensionUniqueName="[Facttable_ridership]" displayFolder="" count="2" memberValueDatatype="130" unbalanced="0">
      <fieldsUsage count="2">
        <fieldUsage x="-1"/>
        <fieldUsage x="3"/>
      </fieldsUsage>
    </cacheHierarchy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1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ime Group]" caption="Count of Time Group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Avg rider per bus]" caption="Avg rider per bus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yati Sethia" refreshedDate="46230.954788078707" createdVersion="8" refreshedVersion="8" minRefreshableVersion="3" recordCount="0" supportSubquery="1" supportAdvancedDrill="1" xr:uid="{E52F5F9D-1BD0-43AC-A538-3928D25F1CBA}">
  <cacheSource type="external" connectionId="7"/>
  <cacheFields count="6">
    <cacheField name="[Measures].[Sum of NumberOfRiders]" caption="Sum of NumberOfRiders" numFmtId="0" hierarchy="50" level="32767"/>
    <cacheField name="[Facttable_ridership].[Time Group].[Time Group]" caption="Time Group" numFmtId="0" hierarchy="32" level="1">
      <sharedItems count="6">
        <s v="03:00 PM - 06:00 PM"/>
        <s v="06:00 AM - 09:00 AM"/>
        <s v="06:00 PM - 09:00 PM"/>
        <s v="09:00 AM - 12:00 PM"/>
        <s v="09:00 PM - 12:00 AM"/>
        <s v="12:00 PM - 03:00 PM"/>
      </sharedItems>
    </cacheField>
    <cacheField name="[Facttable_ridership].[Time].[Time]" caption="Time" numFmtId="0" hierarchy="28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20:57:00]"/>
          </x15:cachedUniqueNames>
        </ext>
      </extLst>
    </cacheField>
    <cacheField name="[Facttable_ridership].[Time_new].[Time_new]" caption="Time_new" numFmtId="0" hierarchy="31" level="1">
      <sharedItems count="1">
        <s v="7:50 PM"/>
      </sharedItems>
    </cacheField>
    <cacheField name="[Dim_DateTable].[Day Name new].[Day Name new]" caption="Day Name new" numFmtId="0" hierarchy="12" level="1">
      <sharedItems count="7">
        <s v="Fri"/>
        <s v="Mon"/>
        <s v="Sat"/>
        <s v="Sun"/>
        <s v="Thu"/>
        <s v="Tue"/>
        <s v="Wed"/>
      </sharedItems>
    </cacheField>
    <cacheField name="[Dim_DateTable].[Month].[Month]" caption="Month" numFmtId="0" hierarchy="7" level="1">
      <sharedItems count="2">
        <s v="Jan"/>
        <s v="Dec"/>
      </sharedItems>
    </cacheField>
  </cacheFields>
  <cacheHierarchies count="63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]" caption="Month" attribute="1" defaultMemberUniqueName="[Dim_DateTable].[Month].[All]" allUniqueName="[Dim_DateTable].[Month].[All]" dimensionUniqueName="[Dim_DateTable]" displayFolder="" count="2" memberValueDatatype="130" unbalanced="0">
      <fieldsUsage count="2">
        <fieldUsage x="-1"/>
        <fieldUsage x="5"/>
      </fieldsUsage>
    </cacheHierarchy>
    <cacheHierarchy uniqueName="[Dim_DateTable].[Month_num]" caption="Month_num" attribute="1" defaultMemberUniqueName="[Dim_DateTable].[Month_num].[All]" allUniqueName="[Dim_DateTable].[Month_num].[All]" dimensionUniqueName="[Dim_DateTable]" displayFolder="" count="0" memberValueDatatype="20" unbalanced="0"/>
    <cacheHierarchy uniqueName="[Dim_DateTable].[week_type]" caption="week_type" attribute="1" defaultMemberUniqueName="[Dim_DateTable].[week_type].[All]" allUniqueName="[Dim_DateTable].[week_typ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Name new]" caption="Day Name new" attribute="1" defaultMemberUniqueName="[Dim_DateTable].[Day Name new].[All]" allUniqueName="[Dim_DateTable].[Day Name new].[All]" dimensionUniqueName="[Dim_DateTable]" displayFolder="" count="2" memberValueDatatype="130" unbalanced="0">
      <fieldsUsage count="2">
        <fieldUsage x="-1"/>
        <fieldUsage x="4"/>
      </fieldsUsage>
    </cacheHierarchy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_new]" caption="Time_new" attribute="1" defaultMemberUniqueName="[Facttable_ridership].[Time_new].[All]" allUniqueName="[Facttable_ridership].[Time_new].[All]" dimensionUniqueName="[Facttable_ridership]" displayFolder="" count="2" memberValueDatatype="130" unbalanced="0">
      <fieldsUsage count="2">
        <fieldUsage x="-1"/>
        <fieldUsage x="3"/>
      </fieldsUsage>
    </cacheHierarchy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1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ime Group]" caption="Count of Time Group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Avg rider per bus]" caption="Avg rider per bus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yati Sethia" refreshedDate="46230.95479074074" createdVersion="8" refreshedVersion="8" minRefreshableVersion="3" recordCount="0" supportSubquery="1" supportAdvancedDrill="1" xr:uid="{0D977C36-9838-46CE-83A8-2729082B81EE}">
  <cacheSource type="external" connectionId="7"/>
  <cacheFields count="2">
    <cacheField name="[Measures].[Sum of NumberOfRiders]" caption="Sum of NumberOfRiders" numFmtId="0" hierarchy="50" level="32767"/>
    <cacheField name="[Facttable_ridership].[Time Group].[Time Group]" caption="Time Group" numFmtId="0" hierarchy="32" level="1">
      <sharedItems count="6">
        <s v="03:00 PM - 06:00 PM"/>
        <s v="06:00 AM - 09:00 AM"/>
        <s v="06:00 PM - 09:00 PM"/>
        <s v="09:00 AM - 12:00 PM"/>
        <s v="09:00 PM - 12:00 AM"/>
        <s v="12:00 PM - 03:00 PM"/>
      </sharedItems>
    </cacheField>
  </cacheFields>
  <cacheHierarchies count="63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130" unbalanced="0"/>
    <cacheHierarchy uniqueName="[Dim_DateTable].[Month_num]" caption="Month_num" attribute="1" defaultMemberUniqueName="[Dim_DateTable].[Month_num].[All]" allUniqueName="[Dim_DateTable].[Month_num].[All]" dimensionUniqueName="[Dim_DateTable]" displayFolder="" count="0" memberValueDatatype="20" unbalanced="0"/>
    <cacheHierarchy uniqueName="[Dim_DateTable].[week_type]" caption="week_type" attribute="1" defaultMemberUniqueName="[Dim_DateTable].[week_type].[All]" allUniqueName="[Dim_DateTable].[week_typ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Name new]" caption="Day Name new" attribute="1" defaultMemberUniqueName="[Dim_DateTable].[Day Name new].[All]" allUniqueName="[Dim_DateTable].[Day Name new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_new]" caption="Time_new" attribute="1" defaultMemberUniqueName="[Facttable_ridership].[Time_new].[All]" allUniqueName="[Facttable_ridership].[Time_new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1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ime Group]" caption="Count of Time Group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Avg rider per bus]" caption="Avg rider per bus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yati Sethia" refreshedDate="46230.95479340278" createdVersion="8" refreshedVersion="8" minRefreshableVersion="3" recordCount="0" supportSubquery="1" supportAdvancedDrill="1" xr:uid="{C2307780-E5AA-49FC-9D8E-47EB3C257B89}">
  <cacheSource type="external" connectionId="7"/>
  <cacheFields count="5">
    <cacheField name="[Measures].[Sum of NumberOfRiders]" caption="Sum of NumberOfRiders" numFmtId="0" hierarchy="50" level="32767"/>
    <cacheField name="[Facttable_ridership].[Time Group].[Time Group]" caption="Time Group" numFmtId="0" hierarchy="32" level="1">
      <sharedItems count="6">
        <s v="03:00 PM - 06:00 PM"/>
        <s v="06:00 AM - 09:00 AM"/>
        <s v="06:00 PM - 09:00 PM"/>
        <s v="09:00 AM - 12:00 PM"/>
        <s v="09:00 PM - 12:00 AM"/>
        <s v="12:00 PM - 03:00 PM"/>
      </sharedItems>
    </cacheField>
    <cacheField name="[Facttable_ridership].[Time].[Time]" caption="Time" numFmtId="0" hierarchy="28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20:57:00]"/>
          </x15:cachedUniqueNames>
        </ext>
      </extLst>
    </cacheField>
    <cacheField name="[Facttable_ridership].[Time_new].[Time_new]" caption="Time_new" numFmtId="0" hierarchy="31" level="1">
      <sharedItems count="1">
        <s v="7:50 PM"/>
      </sharedItems>
    </cacheField>
    <cacheField name="[Dim_DateTable].[Year].[Year]" caption="Year" numFmtId="0" hierarchy="6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m_DateTable].[Year].&amp;[2023]"/>
            <x15:cachedUniqueName index="1" name="[Dim_DateTable].[Year].&amp;[2024]"/>
          </x15:cachedUniqueNames>
        </ext>
      </extLst>
    </cacheField>
  </cacheFields>
  <cacheHierarchies count="63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2" memberValueDatatype="20" unbalanced="0">
      <fieldsUsage count="2">
        <fieldUsage x="-1"/>
        <fieldUsage x="4"/>
      </fieldsUsage>
    </cacheHierarchy>
    <cacheHierarchy uniqueName="[Dim_DateTable].[Month]" caption="Month" attribute="1" defaultMemberUniqueName="[Dim_DateTable].[Month].[All]" allUniqueName="[Dim_DateTable].[Month].[All]" dimensionUniqueName="[Dim_DateTable]" displayFolder="" count="0" memberValueDatatype="130" unbalanced="0"/>
    <cacheHierarchy uniqueName="[Dim_DateTable].[Month_num]" caption="Month_num" attribute="1" defaultMemberUniqueName="[Dim_DateTable].[Month_num].[All]" allUniqueName="[Dim_DateTable].[Month_num].[All]" dimensionUniqueName="[Dim_DateTable]" displayFolder="" count="0" memberValueDatatype="20" unbalanced="0"/>
    <cacheHierarchy uniqueName="[Dim_DateTable].[week_type]" caption="week_type" attribute="1" defaultMemberUniqueName="[Dim_DateTable].[week_type].[All]" allUniqueName="[Dim_DateTable].[week_typ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Name new]" caption="Day Name new" attribute="1" defaultMemberUniqueName="[Dim_DateTable].[Day Name new].[All]" allUniqueName="[Dim_DateTable].[Day Name new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_new]" caption="Time_new" attribute="1" defaultMemberUniqueName="[Facttable_ridership].[Time_new].[All]" allUniqueName="[Facttable_ridership].[Time_new].[All]" dimensionUniqueName="[Facttable_ridership]" displayFolder="" count="2" memberValueDatatype="130" unbalanced="0">
      <fieldsUsage count="2">
        <fieldUsage x="-1"/>
        <fieldUsage x="3"/>
      </fieldsUsage>
    </cacheHierarchy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1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ime Group]" caption="Count of Time Group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Avg rider per bus]" caption="Avg rider per bus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yati Sethia" refreshedDate="46230.954795717589" createdVersion="8" refreshedVersion="8" minRefreshableVersion="3" recordCount="0" supportSubquery="1" supportAdvancedDrill="1" xr:uid="{922B3F52-786D-466A-9781-5A50EBB0ECF3}">
  <cacheSource type="external" connectionId="7"/>
  <cacheFields count="2">
    <cacheField name="[Dim_routes].[RouteName].[RouteName]" caption="RouteName" numFmtId="0" hierarchy="19" level="1">
      <sharedItems count="1">
        <s v="East-West Express"/>
      </sharedItems>
    </cacheField>
    <cacheField name="[Measures].[Sum of NumberOfRiders]" caption="Sum of NumberOfRiders" numFmtId="0" hierarchy="50" level="32767"/>
  </cacheFields>
  <cacheHierarchies count="63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130" unbalanced="0"/>
    <cacheHierarchy uniqueName="[Dim_DateTable].[Month_num]" caption="Month_num" attribute="1" defaultMemberUniqueName="[Dim_DateTable].[Month_num].[All]" allUniqueName="[Dim_DateTable].[Month_num].[All]" dimensionUniqueName="[Dim_DateTable]" displayFolder="" count="0" memberValueDatatype="20" unbalanced="0"/>
    <cacheHierarchy uniqueName="[Dim_DateTable].[week_type]" caption="week_type" attribute="1" defaultMemberUniqueName="[Dim_DateTable].[week_type].[All]" allUniqueName="[Dim_DateTable].[week_typ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Name new]" caption="Day Name new" attribute="1" defaultMemberUniqueName="[Dim_DateTable].[Day Name new].[All]" allUniqueName="[Dim_DateTable].[Day Name new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_new]" caption="Time_new" attribute="1" defaultMemberUniqueName="[Facttable_ridership].[Time_new].[All]" allUniqueName="[Facttable_ridership].[Time_new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ime Group]" caption="Count of Time Group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Avg rider per bus]" caption="Avg rider per bus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yati Sethia" refreshedDate="46230.954798263891" createdVersion="8" refreshedVersion="8" minRefreshableVersion="3" recordCount="0" supportSubquery="1" supportAdvancedDrill="1" xr:uid="{2538978C-08C6-4A53-9A07-87AECE2DE85D}">
  <cacheSource type="external" connectionId="7"/>
  <cacheFields count="4">
    <cacheField name="[Measures].[Sum of NumberOfRiders]" caption="Sum of NumberOfRiders" numFmtId="0" hierarchy="50" level="32767"/>
    <cacheField name="[Facttable_ridership].[Time Group].[Time Group]" caption="Time Group" numFmtId="0" hierarchy="32" level="1">
      <sharedItems count="6">
        <s v="03:00 PM - 06:00 PM"/>
        <s v="06:00 AM - 09:00 AM"/>
        <s v="06:00 PM - 09:00 PM"/>
        <s v="09:00 AM - 12:00 PM"/>
        <s v="09:00 PM - 12:00 AM"/>
        <s v="12:00 PM - 03:00 PM"/>
      </sharedItems>
    </cacheField>
    <cacheField name="[Facttable_ridership].[Time].[Time]" caption="Time" numFmtId="0" hierarchy="28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20:57:00]"/>
          </x15:cachedUniqueNames>
        </ext>
      </extLst>
    </cacheField>
    <cacheField name="[Facttable_ridership].[Time_new].[Time_new]" caption="Time_new" numFmtId="0" hierarchy="31" level="1">
      <sharedItems count="1">
        <s v="7:50 PM"/>
      </sharedItems>
    </cacheField>
  </cacheFields>
  <cacheHierarchies count="63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130" unbalanced="0"/>
    <cacheHierarchy uniqueName="[Dim_DateTable].[Month_num]" caption="Month_num" attribute="1" defaultMemberUniqueName="[Dim_DateTable].[Month_num].[All]" allUniqueName="[Dim_DateTable].[Month_num].[All]" dimensionUniqueName="[Dim_DateTable]" displayFolder="" count="0" memberValueDatatype="20" unbalanced="0"/>
    <cacheHierarchy uniqueName="[Dim_DateTable].[week_type]" caption="week_type" attribute="1" defaultMemberUniqueName="[Dim_DateTable].[week_type].[All]" allUniqueName="[Dim_DateTable].[week_typ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Name new]" caption="Day Name new" attribute="1" defaultMemberUniqueName="[Dim_DateTable].[Day Name new].[All]" allUniqueName="[Dim_DateTable].[Day Name new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_new]" caption="Time_new" attribute="1" defaultMemberUniqueName="[Facttable_ridership].[Time_new].[All]" allUniqueName="[Facttable_ridership].[Time_new].[All]" dimensionUniqueName="[Facttable_ridership]" displayFolder="" count="2" memberValueDatatype="130" unbalanced="0">
      <fieldsUsage count="2">
        <fieldUsage x="-1"/>
        <fieldUsage x="3"/>
      </fieldsUsage>
    </cacheHierarchy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1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ime Group]" caption="Count of Time Group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Avg rider per bus]" caption="Avg rider per bus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yati Sethia" refreshedDate="46230.954800810185" createdVersion="8" refreshedVersion="8" minRefreshableVersion="3" recordCount="0" supportSubquery="1" supportAdvancedDrill="1" xr:uid="{1DEADD28-9913-46B2-BF1E-B6AB8CDC5A57}">
  <cacheSource type="external" connectionId="7"/>
  <cacheFields count="2">
    <cacheField name="[Dim_routes].[RouteName].[RouteName]" caption="RouteName" numFmtId="0" hierarchy="19" level="1">
      <sharedItems count="1">
        <s v="South Line"/>
      </sharedItems>
    </cacheField>
    <cacheField name="[Measures].[Sum of NumberOfRiders]" caption="Sum of NumberOfRiders" numFmtId="0" hierarchy="50" level="32767"/>
  </cacheFields>
  <cacheHierarchies count="63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130" unbalanced="0"/>
    <cacheHierarchy uniqueName="[Dim_DateTable].[Month_num]" caption="Month_num" attribute="1" defaultMemberUniqueName="[Dim_DateTable].[Month_num].[All]" allUniqueName="[Dim_DateTable].[Month_num].[All]" dimensionUniqueName="[Dim_DateTable]" displayFolder="" count="0" memberValueDatatype="20" unbalanced="0"/>
    <cacheHierarchy uniqueName="[Dim_DateTable].[week_type]" caption="week_type" attribute="1" defaultMemberUniqueName="[Dim_DateTable].[week_type].[All]" allUniqueName="[Dim_DateTable].[week_typ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Name new]" caption="Day Name new" attribute="1" defaultMemberUniqueName="[Dim_DateTable].[Day Name new].[All]" allUniqueName="[Dim_DateTable].[Day Name new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_new]" caption="Time_new" attribute="1" defaultMemberUniqueName="[Facttable_ridership].[Time_new].[All]" allUniqueName="[Facttable_ridership].[Time_new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ime Group]" caption="Count of Time Group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Avg rider per bus]" caption="Avg rider per bus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yati Sethia" refreshedDate="46230.954803009263" createdVersion="8" refreshedVersion="8" minRefreshableVersion="3" recordCount="0" supportSubquery="1" supportAdvancedDrill="1" xr:uid="{13C4532F-EA5D-45E3-946A-BBF37590798F}">
  <cacheSource type="external" connectionId="7"/>
  <cacheFields count="2">
    <cacheField name="[Measures].[Sum of NumberOfRiders]" caption="Sum of NumberOfRiders" numFmtId="0" hierarchy="50" level="32767"/>
    <cacheField name="[Measures].[Avg rider per bus]" caption="Avg rider per bus" numFmtId="0" hierarchy="54" level="32767"/>
  </cacheFields>
  <cacheHierarchies count="63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130" unbalanced="0"/>
    <cacheHierarchy uniqueName="[Dim_DateTable].[Month_num]" caption="Month_num" attribute="1" defaultMemberUniqueName="[Dim_DateTable].[Month_num].[All]" allUniqueName="[Dim_DateTable].[Month_num].[All]" dimensionUniqueName="[Dim_DateTable]" displayFolder="" count="0" memberValueDatatype="20" unbalanced="0"/>
    <cacheHierarchy uniqueName="[Dim_DateTable].[week_type]" caption="week_type" attribute="1" defaultMemberUniqueName="[Dim_DateTable].[week_type].[All]" allUniqueName="[Dim_DateTable].[week_typ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Name new]" caption="Day Name new" attribute="1" defaultMemberUniqueName="[Dim_DateTable].[Day Name new].[All]" allUniqueName="[Dim_DateTable].[Day Name new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_new]" caption="Time_new" attribute="1" defaultMemberUniqueName="[Facttable_ridership].[Time_new].[All]" allUniqueName="[Facttable_ridership].[Time_new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ime Group]" caption="Count of Time Group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Avg rider per bus]" caption="Avg rider per bus" measure="1" displayFolder="" measureGroup="Calculations" count="0" oneField="1">
      <fieldsUsage count="1">
        <fieldUsage x="1"/>
      </fieldsUsage>
    </cacheHierarchy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yati Sethia" refreshedDate="46230.954805324072" createdVersion="8" refreshedVersion="8" minRefreshableVersion="3" recordCount="0" supportSubquery="1" supportAdvancedDrill="1" xr:uid="{50ACA13B-836C-49FF-BC4A-F0BFB442C602}">
  <cacheSource type="external" connectionId="7"/>
  <cacheFields count="5">
    <cacheField name="[Dim_demographics].[Age Group].[Age Group]" caption="Age Group" numFmtId="0" hierarchy="17" level="1">
      <sharedItems count="6">
        <s v="0-19"/>
        <s v="20-29"/>
        <s v="30-39"/>
        <s v="40-49"/>
        <s v="50-59"/>
        <s v="60+"/>
      </sharedItems>
    </cacheField>
    <cacheField name="[Measures].[Count of BusID]" caption="Count of BusID" numFmtId="0" hierarchy="47" level="32767"/>
    <cacheField name="[Measures].[Count of Age]" caption="Count of Age" numFmtId="0" hierarchy="48" level="32767"/>
    <cacheField name="[Measures].[Total Transactions]" caption="Total Transactions" numFmtId="0" hierarchy="52" level="32767"/>
    <cacheField name="[Measures].[Average Age]" caption="Average Age" numFmtId="0" hierarchy="53" level="32767"/>
  </cacheFields>
  <cacheHierarchies count="63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130" unbalanced="0"/>
    <cacheHierarchy uniqueName="[Dim_DateTable].[Month_num]" caption="Month_num" attribute="1" defaultMemberUniqueName="[Dim_DateTable].[Month_num].[All]" allUniqueName="[Dim_DateTable].[Month_num].[All]" dimensionUniqueName="[Dim_DateTable]" displayFolder="" count="0" memberValueDatatype="20" unbalanced="0"/>
    <cacheHierarchy uniqueName="[Dim_DateTable].[week_type]" caption="week_type" attribute="1" defaultMemberUniqueName="[Dim_DateTable].[week_type].[All]" allUniqueName="[Dim_DateTable].[week_typ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Name new]" caption="Day Name new" attribute="1" defaultMemberUniqueName="[Dim_DateTable].[Day Name new].[All]" allUniqueName="[Dim_DateTable].[Day Name new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2" memberValueDatatype="130" unbalanced="0">
      <fieldsUsage count="2">
        <fieldUsage x="-1"/>
        <fieldUsage x="0"/>
      </fieldsUsage>
    </cacheHierarchy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_new]" caption="Time_new" attribute="1" defaultMemberUniqueName="[Facttable_ridership].[Time_new].[All]" allUniqueName="[Facttable_ridership].[Time_new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BusID]" caption="Count of BusID" measure="1" displayFolder="" measureGroup="Facttable_ridership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Age]" caption="Count of Age" measure="1" displayFolder="" measureGroup="Dim_demographic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ime Group]" caption="Count of Time Group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 Transactions]" caption="Total Transactions" measure="1" displayFolder="" measureGroup="Calculations" count="0" oneField="1">
      <fieldsUsage count="1">
        <fieldUsage x="3"/>
      </fieldsUsage>
    </cacheHierarchy>
    <cacheHierarchy uniqueName="[Measures].[Average Age]" caption="Average Age" measure="1" displayFolder="" measureGroup="Calculations" count="0" oneField="1">
      <fieldsUsage count="1">
        <fieldUsage x="4"/>
      </fieldsUsage>
    </cacheHierarchy>
    <cacheHierarchy uniqueName="[Measures].[Avg rider per bus]" caption="Avg rider per bus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yati Sethia" refreshedDate="46230.954807175927" createdVersion="8" refreshedVersion="8" minRefreshableVersion="3" recordCount="0" supportSubquery="1" supportAdvancedDrill="1" xr:uid="{8A029419-B014-4A55-A443-3E0975A945D5}">
  <cacheSource type="external" connectionId="7"/>
  <cacheFields count="3">
    <cacheField name="[Measures].[Count of Age]" caption="Count of Age" numFmtId="0" hierarchy="48" level="32767"/>
    <cacheField name="[Measures].[Average Age]" caption="Average Age" numFmtId="0" hierarchy="53" level="32767"/>
    <cacheField name="[Measures].[Count of Occupation]" caption="Count of Occupation" numFmtId="0" hierarchy="49" level="32767"/>
  </cacheFields>
  <cacheHierarchies count="63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130" unbalanced="0"/>
    <cacheHierarchy uniqueName="[Dim_DateTable].[Month_num]" caption="Month_num" attribute="1" defaultMemberUniqueName="[Dim_DateTable].[Month_num].[All]" allUniqueName="[Dim_DateTable].[Month_num].[All]" dimensionUniqueName="[Dim_DateTable]" displayFolder="" count="0" memberValueDatatype="20" unbalanced="0"/>
    <cacheHierarchy uniqueName="[Dim_DateTable].[week_type]" caption="week_type" attribute="1" defaultMemberUniqueName="[Dim_DateTable].[week_type].[All]" allUniqueName="[Dim_DateTable].[week_typ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Name new]" caption="Day Name new" attribute="1" defaultMemberUniqueName="[Dim_DateTable].[Day Name new].[All]" allUniqueName="[Dim_DateTable].[Day Name new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_new]" caption="Time_new" attribute="1" defaultMemberUniqueName="[Facttable_ridership].[Time_new].[All]" allUniqueName="[Facttable_ridership].[Time_new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Age]" caption="Count of Age" measure="1" displayFolder="" measureGroup="Dim_demographic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ccupation]" caption="Count of Occupation" measure="1" displayFolder="" measureGroup="Dim_demographic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ime Group]" caption="Count of Time Group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 oneField="1">
      <fieldsUsage count="1">
        <fieldUsage x="1"/>
      </fieldsUsage>
    </cacheHierarchy>
    <cacheHierarchy uniqueName="[Measures].[Avg rider per bus]" caption="Avg rider per bus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yati Sethia" refreshedDate="46230.954809722221" createdVersion="8" refreshedVersion="8" minRefreshableVersion="3" recordCount="0" supportSubquery="1" supportAdvancedDrill="1" xr:uid="{B0C430D3-C7C4-4CBC-926D-50AE0C4CFF2A}">
  <cacheSource type="external" connectionId="7"/>
  <cacheFields count="4">
    <cacheField name="[Facttable_ridership].[Time].[Time]" caption="Time" numFmtId="0" hierarchy="28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20:57:00]"/>
          </x15:cachedUniqueNames>
        </ext>
      </extLst>
    </cacheField>
    <cacheField name="[Facttable_ridership].[Time_new].[Time_new]" caption="Time_new" numFmtId="0" hierarchy="31" level="1">
      <sharedItems count="1">
        <s v="7:50 PM"/>
      </sharedItems>
    </cacheField>
    <cacheField name="[Facttable_ridership].[Bus Utilization Category].[Bus Utilization Category]" caption="Bus Utilization Category" numFmtId="0" hierarchy="35" level="1">
      <sharedItems count="3">
        <s v="Over Utilized"/>
        <s v="Under Utilized"/>
        <s v="Well Utilized"/>
      </sharedItems>
    </cacheField>
    <cacheField name="[Measures].[Total Buses]" caption="Total Buses" numFmtId="0" hierarchy="55" level="32767"/>
  </cacheFields>
  <cacheHierarchies count="63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130" unbalanced="0"/>
    <cacheHierarchy uniqueName="[Dim_DateTable].[Month_num]" caption="Month_num" attribute="1" defaultMemberUniqueName="[Dim_DateTable].[Month_num].[All]" allUniqueName="[Dim_DateTable].[Month_num].[All]" dimensionUniqueName="[Dim_DateTable]" displayFolder="" count="0" memberValueDatatype="20" unbalanced="0"/>
    <cacheHierarchy uniqueName="[Dim_DateTable].[week_type]" caption="week_type" attribute="1" defaultMemberUniqueName="[Dim_DateTable].[week_type].[All]" allUniqueName="[Dim_DateTable].[week_typ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Name new]" caption="Day Name new" attribute="1" defaultMemberUniqueName="[Dim_DateTable].[Day Name new].[All]" allUniqueName="[Dim_DateTable].[Day Name new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0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_new]" caption="Time_new" attribute="1" defaultMemberUniqueName="[Facttable_ridership].[Time_new].[All]" allUniqueName="[Facttable_ridership].[Time_new].[All]" dimensionUniqueName="[Facttable_ridership]" displayFolder="" count="2" memberValueDatatype="130" unbalanced="0">
      <fieldsUsage count="2">
        <fieldUsage x="-1"/>
        <fieldUsage x="1"/>
      </fieldsUsage>
    </cacheHierarchy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ime Group]" caption="Count of Time Group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Avg rider per bus]" caption="Avg rider per bus" measure="1" displayFolder="" measureGroup="Calculations" count="0"/>
    <cacheHierarchy uniqueName="[Measures].[Total Buses]" caption="Total Buses" measure="1" displayFolder="" measureGroup="Calculations" count="0" oneField="1">
      <fieldsUsage count="1">
        <fieldUsage x="3"/>
      </fieldsUsage>
    </cacheHierarchy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yati Sethia" refreshedDate="46230.957145601853" createdVersion="8" refreshedVersion="8" minRefreshableVersion="3" recordCount="0" supportSubquery="1" supportAdvancedDrill="1" xr:uid="{B638D721-84D0-4DBE-B55E-8F6178A753FB}">
  <cacheSource type="external" connectionId="7"/>
  <cacheFields count="5">
    <cacheField name="[Measures].[Sum of NumberOfRiders]" caption="Sum of NumberOfRiders" numFmtId="0" hierarchy="50" level="32767"/>
    <cacheField name="[Facttable_ridership].[Time Group].[Time Group]" caption="Time Group" numFmtId="0" hierarchy="32" level="1">
      <sharedItems count="6">
        <s v="03:00 PM - 06:00 PM"/>
        <s v="06:00 AM - 09:00 AM"/>
        <s v="06:00 PM - 09:00 PM"/>
        <s v="09:00 AM - 12:00 PM"/>
        <s v="09:00 PM - 12:00 AM"/>
        <s v="12:00 PM - 03:00 PM"/>
      </sharedItems>
    </cacheField>
    <cacheField name="[Facttable_ridership].[Time].[Time]" caption="Time" numFmtId="0" hierarchy="28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20:57:00]"/>
          </x15:cachedUniqueNames>
        </ext>
      </extLst>
    </cacheField>
    <cacheField name="[Facttable_ridership].[Time_new].[Time_new]" caption="Time_new" numFmtId="0" hierarchy="31" level="1">
      <sharedItems count="1">
        <s v="7:50 PM"/>
      </sharedItems>
    </cacheField>
    <cacheField name="[Facttable_ridership].[Operation moment].[Operation moment]" caption="Operation moment" numFmtId="0" hierarchy="41" level="1">
      <sharedItems count="2">
        <s v="AM"/>
        <s v="PM"/>
      </sharedItems>
    </cacheField>
  </cacheFields>
  <cacheHierarchies count="63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130" unbalanced="0"/>
    <cacheHierarchy uniqueName="[Dim_DateTable].[Month_num]" caption="Month_num" attribute="1" defaultMemberUniqueName="[Dim_DateTable].[Month_num].[All]" allUniqueName="[Dim_DateTable].[Month_num].[All]" dimensionUniqueName="[Dim_DateTable]" displayFolder="" count="0" memberValueDatatype="20" unbalanced="0"/>
    <cacheHierarchy uniqueName="[Dim_DateTable].[week_type]" caption="week_type" attribute="1" defaultMemberUniqueName="[Dim_DateTable].[week_type].[All]" allUniqueName="[Dim_DateTable].[week_type].[All]" dimensionUniqueName="[Dim_DateTable]" displayFolder="" count="0" memberValueDatatype="130" unbalanced="0"/>
    <cacheHierarchy uniqueName="[Dim_DateTable].[Day of Week]" caption="Day of Week" attribute="1" defaultMemberUniqueName="[Dim_DateTable].[Day of Week].[All]" allUniqueName="[Dim_DateTable].[Day of Week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Day Name new]" caption="Day Name new" attribute="1" defaultMemberUniqueName="[Dim_DateTable].[Day Name new].[All]" allUniqueName="[Dim_DateTable].[Day Name new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Group]" caption="Age Group" attribute="1" defaultMemberUniqueName="[Dim_demographics].[Age Group].[All]" allUniqueName="[Dim_demographics].[Age 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Time_new]" caption="Time_new" attribute="1" defaultMemberUniqueName="[Facttable_ridership].[Time_new].[All]" allUniqueName="[Facttable_ridership].[Time_new].[All]" dimensionUniqueName="[Facttable_ridership]" displayFolder="" count="2" memberValueDatatype="130" unbalanced="0">
      <fieldsUsage count="2">
        <fieldUsage x="-1"/>
        <fieldUsage x="3"/>
      </fieldsUsage>
    </cacheHierarchy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1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2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2" memberValueDatatype="130" unbalanced="0">
      <fieldsUsage count="2">
        <fieldUsage x="-1"/>
        <fieldUsage x="4"/>
      </fieldsUsage>
    </cacheHierarchy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ime Group]" caption="Count of Time Group" measure="1" displayFolder="" measureGroup="Facttable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 Transactions]" caption="Total Transactions" measure="1" displayFolder="" measureGroup="Calculations" count="0"/>
    <cacheHierarchy uniqueName="[Measures].[Average Age]" caption="Average Age" measure="1" displayFolder="" measureGroup="Calculations" count="0"/>
    <cacheHierarchy uniqueName="[Measures].[Avg rider per bus]" caption="Avg rider per bus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AE9B7-826A-47DB-8B57-F5C232816B42}" name="PivotTable7" cacheId="3" applyNumberFormats="0" applyBorderFormats="0" applyFontFormats="0" applyPatternFormats="0" applyAlignmentFormats="0" applyWidthHeightFormats="1" dataCaption="Values" tag="25d45651-9844-4382-b5d0-9afe1d436fea" updatedVersion="8" minRefreshableVersion="3" useAutoFormatting="1" subtotalHiddenItems="1" rowGrandTotals="0" colGrandTotals="0" itemPrintTitles="1" createdVersion="8" indent="0" outline="1" outlineData="1" multipleFieldFilters="0" chartFormat="22" rowHeaderCaption="Time ">
  <location ref="E21:F22" firstHeaderRow="1" firstDataRow="1" firstDataCol="1"/>
  <pivotFields count="4">
    <pivotField dataField="1" subtotalTop="0" showAll="0" defaultSubtotal="0"/>
    <pivotField allDrilled="1" subtotalTop="0" showAll="0" sortType="ascending" dataSourceSort="1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measureFilter="1" dataSourceSort="1" defaultSubtotal="0" defaultAttributeDrillState="1">
      <items count="1">
        <item x="0"/>
      </items>
    </pivotField>
    <pivotField axis="axisRow" allDrilled="1" subtotalTop="0" showAll="0" measureFilter="1" dataSourceSort="1" defaultSubtotal="0" defaultAttributeDrillState="1">
      <items count="1">
        <item x="0"/>
      </items>
    </pivotField>
  </pivotFields>
  <rowFields count="1">
    <field x="3"/>
  </rowFields>
  <rowItems count="1">
    <i>
      <x/>
    </i>
  </rowItems>
  <colItems count="1">
    <i/>
  </colItems>
  <dataFields count="1">
    <dataField name="Total riders" fld="0" baseField="0" baseItem="1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usID"/>
    <pivotHierarchy dragToData="1" caption="Count of Age"/>
    <pivotHierarchy dragToData="1"/>
    <pivotHierarchy dragToData="1" caption="Total ride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Avg rider per trip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2" type="count" id="1" iMeasureHier="50">
      <autoFilter ref="A1">
        <filterColumn colId="0">
          <top10 val="1" filterVal="1"/>
        </filterColumn>
      </autoFilter>
    </filter>
    <filter fld="3" type="count" id="2" iMeasureHier="50">
      <autoFilter ref="A1">
        <filterColumn colId="0">
          <top10 val="1" filterVal="1"/>
        </filterColumn>
      </autoFilter>
    </filter>
  </filters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31EF7-CA89-4825-AB40-727F56B7F553}" name="PivotTable8" cacheId="8" applyNumberFormats="0" applyBorderFormats="0" applyFontFormats="0" applyPatternFormats="0" applyAlignmentFormats="0" applyWidthHeightFormats="1" dataCaption="Values" tag="b475863a-dac3-406d-8137-98af4b5063db" updatedVersion="8" minRefreshableVersion="3" useAutoFormatting="1" subtotalHiddenItems="1" rowGrandTotals="0" colGrandTotals="0" itemPrintTitles="1" createdVersion="8" indent="0" outline="1" outlineData="1" multipleFieldFilters="0" chartFormat="22" rowHeaderCaption="Time ">
  <location ref="E25:F26" firstHeaderRow="1" firstDataRow="1" firstDataCol="1"/>
  <pivotFields count="4">
    <pivotField dataField="1" subtotalTop="0" showAll="0" defaultSubtotal="0"/>
    <pivotField allDrilled="1" subtotalTop="0" showAll="0" sortType="ascending" dataSourceSort="1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measureFilter="1" dataSourceSort="1" defaultSubtotal="0" defaultAttributeDrillState="1">
      <items count="1">
        <item x="0"/>
      </items>
    </pivotField>
    <pivotField axis="axisRow" allDrilled="1" subtotalTop="0" showAll="0" measureFilter="1" dataSourceSort="1" defaultSubtotal="0" defaultAttributeDrillState="1">
      <items count="1">
        <item x="0"/>
      </items>
    </pivotField>
  </pivotFields>
  <rowFields count="1">
    <field x="3"/>
  </rowFields>
  <rowItems count="1">
    <i>
      <x/>
    </i>
  </rowItems>
  <colItems count="1">
    <i/>
  </colItems>
  <dataFields count="1">
    <dataField name="Total riders" fld="0" baseField="0" baseItem="1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usID"/>
    <pivotHierarchy dragToData="1" caption="Count of Age"/>
    <pivotHierarchy dragToData="1"/>
    <pivotHierarchy dragToData="1" caption="Total ride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Avg rider per trip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3" type="count" id="3" iMeasureHier="50">
      <autoFilter ref="A1">
        <filterColumn colId="0">
          <top10 top="0" val="1" filterVal="1"/>
        </filterColumn>
      </autoFilter>
    </filter>
    <filter fld="2" type="count" id="1" iMeasureHier="50">
      <autoFilter ref="A1">
        <filterColumn colId="0">
          <top10 val="1" filterVal="1"/>
        </filterColumn>
      </autoFilter>
    </filter>
  </filters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72D86-8C1C-4DC5-85B5-AE6A0C34BB8F}" name="PivotTable14" cacheId="13" applyNumberFormats="0" applyBorderFormats="0" applyFontFormats="0" applyPatternFormats="0" applyAlignmentFormats="0" applyWidthHeightFormats="1" dataCaption="Values" tag="dcc2b0de-c6e5-4a1a-ab83-4111a1a7a4c5" updatedVersion="8" minRefreshableVersion="3" useAutoFormatting="1" subtotalHiddenItems="1" rowGrandTotals="0" colGrandTotals="0" itemPrintTitles="1" createdVersion="8" indent="0" outline="1" outlineData="1" multipleFieldFilters="0" chartFormat="22" rowHeaderCaption="Bus Utilization Category ">
  <location ref="D51:E54" firstHeaderRow="1" firstDataRow="1" firstDataCol="1"/>
  <pivotFields count="4">
    <pivotField allDrilled="1" subtotalTop="0" showAll="0" measureFilter="1" dataSourceSort="1" defaultSubtotal="0" defaultAttributeDrillState="1">
      <items count="1">
        <item x="0"/>
      </items>
    </pivotField>
    <pivotField allDrilled="1" subtotalTop="0" showAll="0" measureFilter="1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fld="3" subtotal="count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usID"/>
    <pivotHierarchy dragToData="1" caption="Count of Age"/>
    <pivotHierarchy dragToData="1"/>
    <pivotHierarchy dragToData="1" caption="Total ride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Avg rider per trip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count" id="1" iMeasureHier="50">
      <autoFilter ref="A1">
        <filterColumn colId="0">
          <top10 val="1" filterVal="1"/>
        </filterColumn>
      </autoFilter>
    </filter>
    <filter fld="1" type="count" id="3" iMeasureHier="50">
      <autoFilter ref="A1">
        <filterColumn colId="0">
          <top10 top="0" val="1" filterVal="1"/>
        </filterColumn>
      </autoFilter>
    </filter>
  </filters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DA502-4583-407F-BEF1-C8FB2CBDD303}" name="PivotTable2" cacheId="12" applyNumberFormats="0" applyBorderFormats="0" applyFontFormats="0" applyPatternFormats="0" applyAlignmentFormats="0" applyWidthHeightFormats="1" dataCaption="Values" tag="01fef8a3-1fd3-4f94-acdd-b7d3c0511432" updatedVersion="8" minRefreshableVersion="3" useAutoFormatting="1" rowGrandTotals="0" colGrandTotals="0" itemPrintTitles="1" createdVersion="8" indent="0" outline="1" outlineData="1" multipleFieldFilters="0" rowHeaderCaption="Columns">
  <location ref="A12:C13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Age" fld="0" subtotal="count" baseField="0" baseItem="0"/>
    <dataField name="Count of Occupation" fld="2" subtotal="count" baseField="0" baseItem="0"/>
    <dataField fld="1" subtotal="count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usID"/>
    <pivotHierarchy dragToData="1" caption="Count of Age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05837-CC78-4F58-A9B5-A7EC9C925A3C}" name="PivotTable11" cacheId="2" applyNumberFormats="0" applyBorderFormats="0" applyFontFormats="0" applyPatternFormats="0" applyAlignmentFormats="0" applyWidthHeightFormats="1" dataCaption="Values" tag="b3ab4a3d-5aab-4f44-8323-877a44140d2a" updatedVersion="8" minRefreshableVersion="3" useAutoFormatting="1" subtotalHiddenItems="1" rowGrandTotals="0" colGrandTotals="0" itemPrintTitles="1" createdVersion="8" indent="0" outline="1" outlineData="1" multipleFieldFilters="0" chartFormat="22" rowHeaderCaption="Year ">
  <location ref="A31:B33" firstHeaderRow="1" firstDataRow="1" firstDataCol="1"/>
  <pivotFields count="5">
    <pivotField dataField="1" subtotalTop="0" showAll="0" defaultSubtotal="0"/>
    <pivotField allDrilled="1" subtotalTop="0" showAll="0" sortType="ascending" dataSourceSort="1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measureFilter="1" dataSourceSort="1" defaultSubtotal="0" defaultAttributeDrillState="1">
      <items count="1">
        <item x="0"/>
      </items>
    </pivotField>
    <pivotField allDrilled="1" subtotalTop="0" showAll="0" measureFilter="1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name="Total riders" fld="0" showDataAs="percentDiff" baseField="4" baseItem="0" numFmtId="1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usID"/>
    <pivotHierarchy dragToData="1" caption="Count of Age"/>
    <pivotHierarchy dragToData="1"/>
    <pivotHierarchy dragToData="1" caption="Total ride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Avg rider per trip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2" type="count" id="1" iMeasureHier="50">
      <autoFilter ref="A1">
        <filterColumn colId="0">
          <top10 val="1" filterVal="1"/>
        </filterColumn>
      </autoFilter>
    </filter>
    <filter fld="3" type="count" id="3" iMeasureHier="50">
      <autoFilter ref="A1">
        <filterColumn colId="0">
          <top10 top="0" val="1" filterVal="1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36CCE-52D3-47EE-9001-D7F9902962B6}" name="PivotTable4" cacheId="7" applyNumberFormats="0" applyBorderFormats="0" applyFontFormats="0" applyPatternFormats="0" applyAlignmentFormats="0" applyWidthHeightFormats="1" dataCaption="Values" tag="e9b151f3-dbbc-4c7d-8580-1e407343f02c" updatedVersion="8" minRefreshableVersion="3" useAutoFormatting="1" rowGrandTotals="0" colGrandTotals="0" itemPrintTitles="1" createdVersion="8" indent="0" outline="1" outlineData="1" multipleFieldFilters="0" rowHeaderCaption="Columns">
  <location ref="A20:B21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1">
    <i>
      <x/>
    </i>
  </rowItems>
  <colItems count="1">
    <i/>
  </colItems>
  <dataFields count="1">
    <dataField name="Total Passengers" fld="1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usID"/>
    <pivotHierarchy dragToData="1" caption="Count of Age"/>
    <pivotHierarchy dragToData="1"/>
    <pivotHierarchy dragToData="1" caption="Total Passenge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Avg rider per trip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50">
      <autoFilter ref="A1">
        <filterColumn colId="0">
          <top10 val="1" filterVal="1"/>
        </filterColumn>
      </autoFilter>
    </filter>
  </filters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26829-5BB9-4894-9DC5-D3D8053F3B41}" name="PivotTable1" cacheId="11" applyNumberFormats="0" applyBorderFormats="0" applyFontFormats="0" applyPatternFormats="0" applyAlignmentFormats="0" applyWidthHeightFormats="1" dataCaption="Values" tag="19eacea2-54c2-4a9c-aa43-baabbb1e0b26" updatedVersion="8" minRefreshableVersion="3" useAutoFormatting="1" rowGrandTotals="0" colGrandTotals="0" itemPrintTitles="1" createdVersion="8" indent="0" outline="1" outlineData="1" multipleFieldFilters="0" rowHeaderCaption="Columns">
  <location ref="A3:E9" firstHeaderRow="0" firstDataRow="1" firstDataCol="1"/>
  <pivotFields count="5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Age" fld="2" subtotal="count" baseField="0" baseItem="0"/>
    <dataField name="Count of BusID" fld="1" subtotal="count" baseField="0" baseItem="0"/>
    <dataField fld="3" subtotal="count" baseField="0" baseItem="0"/>
    <dataField fld="4" subtotal="count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usID"/>
    <pivotHierarchy dragToData="1" caption="Count of Age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153DB-8F00-402E-87CC-F21754C20241}" name="PivotTable10" cacheId="1" applyNumberFormats="0" applyBorderFormats="0" applyFontFormats="0" applyPatternFormats="0" applyAlignmentFormats="0" applyWidthHeightFormats="1" dataCaption="Values" tag="974b100d-24b6-4a33-bae6-b6f1f90973cd" updatedVersion="8" minRefreshableVersion="3" useAutoFormatting="1" subtotalHiddenItems="1" rowGrandTotals="0" colGrandTotals="0" itemPrintTitles="1" createdVersion="8" indent="0" outline="1" outlineData="1" multipleFieldFilters="0" chartFormat="27" rowHeaderCaption="Time ">
  <location ref="E29:F36" firstHeaderRow="1" firstDataRow="1" firstDataCol="1"/>
  <pivotFields count="5">
    <pivotField dataField="1" subtotalTop="0" showAll="0" defaultSubtotal="0"/>
    <pivotField allDrilled="1" subtotalTop="0" showAll="0" sortType="ascending" dataSourceSort="1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measureFilter="1" dataSourceSort="1" defaultSubtotal="0" defaultAttributeDrillState="1">
      <items count="1">
        <item x="0"/>
      </items>
    </pivotField>
    <pivotField allDrilled="1" subtotalTop="0" showAll="0" measureFilter="1" dataSourceSort="1" defaultSubtotal="0" defaultAttributeDrillState="1">
      <items count="1">
        <item x="0"/>
      </items>
    </pivotField>
    <pivotField axis="axisRow" allDrilled="1" subtotalTop="0" showAll="0" sortType="ascending" defaultSubtotal="0" defaultAttributeDrillState="1">
      <items count="7">
        <item x="3"/>
        <item x="1"/>
        <item x="5"/>
        <item x="6"/>
        <item x="4"/>
        <item x="0"/>
        <item x="2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Total riders" fld="0" baseField="0" baseItem="1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usID"/>
    <pivotHierarchy dragToData="1" caption="Count of Age"/>
    <pivotHierarchy dragToData="1"/>
    <pivotHierarchy dragToData="1" caption="Total ride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Avg rider per trip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2" type="count" id="1" iMeasureHier="50">
      <autoFilter ref="A1">
        <filterColumn colId="0">
          <top10 val="1" filterVal="1"/>
        </filterColumn>
      </autoFilter>
    </filter>
    <filter fld="3" type="count" id="3" iMeasureHier="50">
      <autoFilter ref="A1">
        <filterColumn colId="0">
          <top10 top="0" val="1" filterVal="1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B9FBE-A0E8-4D14-82B5-B7C49A7E745B}" name="PivotTable9" cacheId="6" applyNumberFormats="0" applyBorderFormats="0" applyFontFormats="0" applyPatternFormats="0" applyAlignmentFormats="0" applyWidthHeightFormats="1" dataCaption="Values" tag="b07a0573-eba6-40c9-a5de-9757c4e7dae2" updatedVersion="8" minRefreshableVersion="3" useAutoFormatting="1" subtotalHiddenItems="1" rowGrandTotals="0" colGrandTotals="0" itemPrintTitles="1" createdVersion="8" indent="0" outline="1" outlineData="1" multipleFieldFilters="0" chartFormat="29" rowHeaderCaption="Year ">
  <location ref="A27:B29" firstHeaderRow="1" firstDataRow="1" firstDataCol="1"/>
  <pivotFields count="5">
    <pivotField dataField="1" subtotalTop="0" showAll="0" defaultSubtotal="0"/>
    <pivotField allDrilled="1" subtotalTop="0" showAll="0" sortType="ascending" dataSourceSort="1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measureFilter="1" dataSourceSort="1" defaultSubtotal="0" defaultAttributeDrillState="1">
      <items count="1">
        <item x="0"/>
      </items>
    </pivotField>
    <pivotField allDrilled="1" subtotalTop="0" showAll="0" measureFilter="1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name="Total riders" fld="0" baseField="0" baseItem="1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usID"/>
    <pivotHierarchy dragToData="1" caption="Count of Age"/>
    <pivotHierarchy dragToData="1"/>
    <pivotHierarchy dragToData="1" caption="Total ride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Avg rider per trip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2" type="count" id="1" iMeasureHier="50">
      <autoFilter ref="A1">
        <filterColumn colId="0">
          <top10 val="1" filterVal="1"/>
        </filterColumn>
      </autoFilter>
    </filter>
    <filter fld="3" type="count" id="3" iMeasureHier="50">
      <autoFilter ref="A1">
        <filterColumn colId="0">
          <top10 top="0" val="1" filterVal="1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FB6FA-1F1C-4F21-92D3-C53C7CCB1BDC}" name="PivotTable13" cacheId="0" applyNumberFormats="0" applyBorderFormats="0" applyFontFormats="0" applyPatternFormats="0" applyAlignmentFormats="0" applyWidthHeightFormats="1" dataCaption="Values" tag="a72bd658-28e3-4f43-a741-b3ae749b70d0" updatedVersion="8" minRefreshableVersion="3" useAutoFormatting="1" subtotalHiddenItems="1" rowGrandTotals="0" colGrandTotals="0" itemPrintTitles="1" createdVersion="8" indent="0" outline="1" outlineData="1" multipleFieldFilters="0" chartFormat="22" rowHeaderCaption="Year ">
  <location ref="A51:B54" firstHeaderRow="1" firstDataRow="1" firstDataCol="1"/>
  <pivotFields count="5">
    <pivotField dataField="1" subtotalTop="0" showAll="0" defaultSubtotal="0"/>
    <pivotField allDrilled="1" subtotalTop="0" showAll="0" sortType="ascending" dataSourceSort="1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measureFilter="1" dataSourceSort="1" defaultSubtotal="0" defaultAttributeDrillState="1">
      <items count="1">
        <item x="0"/>
      </items>
    </pivotField>
    <pivotField allDrilled="1" subtotalTop="0" showAll="0" measureFilter="1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Total riders" fld="0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usID"/>
    <pivotHierarchy dragToData="1" caption="Count of Age"/>
    <pivotHierarchy dragToData="1"/>
    <pivotHierarchy dragToData="1" caption="Total ride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Avg rider per trip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2" type="count" id="1" iMeasureHier="50">
      <autoFilter ref="A1">
        <filterColumn colId="0">
          <top10 val="1" filterVal="1"/>
        </filterColumn>
      </autoFilter>
    </filter>
    <filter fld="3" type="count" id="3" iMeasureHier="50">
      <autoFilter ref="A1">
        <filterColumn colId="0">
          <top10 top="0" val="1" filterVal="1"/>
        </filterColumn>
      </autoFilter>
    </filter>
  </filters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D240B-0ACC-4CD6-9311-EA155BDECC97}" name="PivotTable6" cacheId="5" applyNumberFormats="0" applyBorderFormats="0" applyFontFormats="0" applyPatternFormats="0" applyAlignmentFormats="0" applyWidthHeightFormats="1" dataCaption="Values" tag="53f14f2b-85e8-447b-9adf-b24894f3e6ed" updatedVersion="8" minRefreshableVersion="3" useAutoFormatting="1" subtotalHiddenItems="1" rowGrandTotals="0" colGrandTotals="0" itemPrintTitles="1" createdVersion="8" indent="0" outline="1" outlineData="1" multipleFieldFilters="0" chartFormat="22" rowHeaderCaption="Time Group">
  <location ref="E12:F18" firstHeaderRow="1" firstDataRow="1" firstDataCol="1"/>
  <pivotFields count="2">
    <pivotField dataField="1" subtotalTop="0" showAll="0" defaultSubtotal="0"/>
    <pivotField axis="axisRow" allDrilled="1" subtotalTop="0" showAll="0" sortType="ascending" dataSourceSort="1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/>
    </i>
    <i>
      <x v="2"/>
    </i>
    <i>
      <x v="1"/>
    </i>
    <i>
      <x v="4"/>
    </i>
    <i>
      <x v="5"/>
    </i>
    <i>
      <x v="3"/>
    </i>
  </rowItems>
  <colItems count="1">
    <i/>
  </colItems>
  <dataFields count="1">
    <dataField name="Total riders" fld="0" baseField="0" baseItem="1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usID"/>
    <pivotHierarchy dragToData="1" caption="Count of Age"/>
    <pivotHierarchy dragToData="1"/>
    <pivotHierarchy dragToData="1" caption="Total ride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Avg rider per trip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6A457-76EF-4315-AA42-029DC1371016}" name="PivotTable3" cacheId="10" applyNumberFormats="0" applyBorderFormats="0" applyFontFormats="0" applyPatternFormats="0" applyAlignmentFormats="0" applyWidthHeightFormats="1" dataCaption="Values" tag="e2e7e341-21dc-41fd-933e-ecb55dda2b92" updatedVersion="8" minRefreshableVersion="3" useAutoFormatting="1" rowGrandTotals="0" colGrandTotals="0" itemPrintTitles="1" createdVersion="8" indent="0" outline="1" outlineData="1" multipleFieldFilters="0" rowHeaderCaption="Columns">
  <location ref="A16:B17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riders" fld="0" baseField="0" baseItem="1"/>
    <dataField name="Avg rider per trip" fld="1" subtotal="count" baseField="0" baseItem="1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usID"/>
    <pivotHierarchy dragToData="1" caption="Count of Age"/>
    <pivotHierarchy dragToData="1"/>
    <pivotHierarchy dragToData="1" caption="Total ride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Avg rider per trip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BFE343-B120-4776-8DA9-4762085C31F3}" name="PivotTable12" cacheId="4" applyNumberFormats="0" applyBorderFormats="0" applyFontFormats="0" applyPatternFormats="0" applyAlignmentFormats="0" applyWidthHeightFormats="1" dataCaption="Values" tag="b528bd3a-46bd-4a3e-84d8-cd3da063a5a5" updatedVersion="8" minRefreshableVersion="3" useAutoFormatting="1" subtotalHiddenItems="1" rowGrandTotals="0" colGrandTotals="0" itemPrintTitles="1" createdVersion="8" indent="0" outline="1" outlineData="1" multipleFieldFilters="0" chartFormat="30" rowHeaderCaption="Month ">
  <location ref="H3:I5" firstHeaderRow="1" firstDataRow="1" firstDataCol="1"/>
  <pivotFields count="6">
    <pivotField dataField="1" subtotalTop="0" showAll="0" defaultSubtotal="0"/>
    <pivotField allDrilled="1" subtotalTop="0" showAll="0" sortType="ascending" dataSourceSort="1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measureFilter="1" dataSourceSort="1" defaultSubtotal="0" defaultAttributeDrillState="1">
      <items count="1">
        <item x="0"/>
      </items>
    </pivotField>
    <pivotField allDrilled="1" subtotalTop="0" showAll="0" measureFilter="1" dataSourceSort="1" defaultSubtotal="0" defaultAttributeDrillState="1">
      <items count="1">
        <item x="0"/>
      </items>
    </pivotField>
    <pivotField allDrilled="1" subtotalTop="0" showAll="0" sortType="ascending" defaultSubtotal="0" defaultAttributeDrillState="1">
      <items count="7">
        <item x="3"/>
        <item x="1"/>
        <item x="5"/>
        <item x="6"/>
        <item x="4"/>
        <item x="0"/>
        <item x="2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5"/>
  </rowFields>
  <rowItems count="2">
    <i>
      <x/>
    </i>
    <i>
      <x v="1"/>
    </i>
  </rowItems>
  <colItems count="1">
    <i/>
  </colItems>
  <dataFields count="1">
    <dataField name="Total riders" fld="0" baseField="0" baseItem="1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usID"/>
    <pivotHierarchy dragToData="1" caption="Count of Age"/>
    <pivotHierarchy dragToData="1"/>
    <pivotHierarchy dragToData="1" caption="Total ride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Avg rider per trip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2" type="count" id="1" iMeasureHier="50">
      <autoFilter ref="A1">
        <filterColumn colId="0">
          <top10 val="1" filterVal="1"/>
        </filterColumn>
      </autoFilter>
    </filter>
    <filter fld="3" type="count" id="3" iMeasureHier="50">
      <autoFilter ref="A1">
        <filterColumn colId="0">
          <top10 top="0" val="1" filterVal="1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1EE35-829A-4ACF-95F3-F4D8A3D601FE}" name="PivotTable15" cacheId="14" applyNumberFormats="0" applyBorderFormats="0" applyFontFormats="0" applyPatternFormats="0" applyAlignmentFormats="0" applyWidthHeightFormats="1" dataCaption="Values" tag="8ba2bf45-1c3a-4391-a963-e896b4698faa" updatedVersion="8" minRefreshableVersion="3" useAutoFormatting="1" subtotalHiddenItems="1" rowGrandTotals="0" colGrandTotals="0" itemPrintTitles="1" createdVersion="8" indent="0" outline="1" outlineData="1" multipleFieldFilters="0" chartFormat="22" rowHeaderCaption="Year ">
  <location ref="A56:B58" firstHeaderRow="1" firstDataRow="1" firstDataCol="1"/>
  <pivotFields count="5">
    <pivotField dataField="1" subtotalTop="0" showAll="0" defaultSubtotal="0"/>
    <pivotField allDrilled="1" subtotalTop="0" showAll="0" sortType="ascending" dataSourceSort="1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measureFilter="1" dataSourceSort="1" defaultSubtotal="0" defaultAttributeDrillState="1">
      <items count="1">
        <item x="0"/>
      </items>
    </pivotField>
    <pivotField allDrilled="1" subtotalTop="0" showAll="0" measureFilter="1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name="Total riders" fld="0" showDataAs="percentOfTotal" baseField="0" baseItem="0" numFmtId="1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usID"/>
    <pivotHierarchy dragToData="1" caption="Count of Age"/>
    <pivotHierarchy dragToData="1"/>
    <pivotHierarchy dragToData="1" caption="Total ride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Avg rider per trip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2" type="count" id="1" iMeasureHier="50">
      <autoFilter ref="A1">
        <filterColumn colId="0">
          <top10 val="1" filterVal="1"/>
        </filterColumn>
      </autoFilter>
    </filter>
    <filter fld="3" type="count" id="3" iMeasureHier="50">
      <autoFilter ref="A1">
        <filterColumn colId="0">
          <top10 top="0" val="1" filterVal="1"/>
        </filterColumn>
      </autoFilter>
    </filter>
  </filters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6D714-39F5-4C12-B68A-64FA0C45191D}" name="PivotTable5" cacheId="9" applyNumberFormats="0" applyBorderFormats="0" applyFontFormats="0" applyPatternFormats="0" applyAlignmentFormats="0" applyWidthHeightFormats="1" dataCaption="Values" tag="9ff3335f-7a72-4094-8a98-cc89732b3b24" updatedVersion="8" minRefreshableVersion="3" useAutoFormatting="1" rowGrandTotals="0" colGrandTotals="0" itemPrintTitles="1" createdVersion="8" indent="0" outline="1" outlineData="1" multipleFieldFilters="0" rowHeaderCaption="Columns">
  <location ref="A24:B25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1">
    <i>
      <x/>
    </i>
  </rowItems>
  <colItems count="1">
    <i/>
  </colItems>
  <dataFields count="1">
    <dataField name="Total Passengers" fld="1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usID"/>
    <pivotHierarchy dragToData="1" caption="Count of Age"/>
    <pivotHierarchy dragToData="1"/>
    <pivotHierarchy dragToData="1" caption="Total Passenge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Avg rider per trip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2" iMeasureHier="50">
      <autoFilter ref="A1">
        <filterColumn colId="0">
          <top10 top="0" val="1" filterVal="1"/>
        </filterColumn>
      </autoFilter>
    </filter>
  </filters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4FA0-CEAD-46BD-87BE-5DED5B7F12C9}">
  <dimension ref="A3:I62"/>
  <sheetViews>
    <sheetView topLeftCell="A46" workbookViewId="0">
      <selection activeCell="B63" sqref="B63"/>
    </sheetView>
  </sheetViews>
  <sheetFormatPr defaultRowHeight="14.4" x14ac:dyDescent="0.3"/>
  <cols>
    <col min="1" max="1" width="7.33203125" bestFit="1" customWidth="1"/>
    <col min="2" max="2" width="10.33203125" bestFit="1" customWidth="1"/>
    <col min="3" max="3" width="11.5546875" bestFit="1" customWidth="1"/>
    <col min="4" max="4" width="23.88671875" bestFit="1" customWidth="1"/>
    <col min="5" max="5" width="10.44140625" bestFit="1" customWidth="1"/>
    <col min="6" max="6" width="10.33203125" bestFit="1" customWidth="1"/>
    <col min="7" max="7" width="8.109375" bestFit="1" customWidth="1"/>
    <col min="8" max="8" width="9.44140625" bestFit="1" customWidth="1"/>
    <col min="9" max="9" width="10.33203125" bestFit="1" customWidth="1"/>
    <col min="10" max="188" width="8.109375" bestFit="1" customWidth="1"/>
  </cols>
  <sheetData>
    <row r="3" spans="1:9" x14ac:dyDescent="0.3">
      <c r="A3" s="1" t="s">
        <v>8</v>
      </c>
      <c r="B3" t="s">
        <v>7</v>
      </c>
      <c r="C3" t="s">
        <v>6</v>
      </c>
      <c r="D3" t="s">
        <v>9</v>
      </c>
      <c r="E3" t="s">
        <v>10</v>
      </c>
      <c r="H3" s="1" t="s">
        <v>54</v>
      </c>
      <c r="I3" t="s">
        <v>13</v>
      </c>
    </row>
    <row r="4" spans="1:9" x14ac:dyDescent="0.3">
      <c r="A4" s="2" t="s">
        <v>0</v>
      </c>
      <c r="B4">
        <v>8</v>
      </c>
      <c r="C4">
        <v>16</v>
      </c>
      <c r="D4">
        <v>16</v>
      </c>
      <c r="E4" s="3">
        <v>17.625</v>
      </c>
      <c r="H4" s="2" t="s">
        <v>53</v>
      </c>
      <c r="I4">
        <v>933</v>
      </c>
    </row>
    <row r="5" spans="1:9" x14ac:dyDescent="0.3">
      <c r="A5" s="2" t="s">
        <v>1</v>
      </c>
      <c r="B5">
        <v>13</v>
      </c>
      <c r="C5">
        <v>26</v>
      </c>
      <c r="D5">
        <v>26</v>
      </c>
      <c r="E5" s="3">
        <v>24.846153846153847</v>
      </c>
      <c r="H5" s="2" t="s">
        <v>52</v>
      </c>
      <c r="I5">
        <v>5654</v>
      </c>
    </row>
    <row r="6" spans="1:9" x14ac:dyDescent="0.3">
      <c r="A6" s="2" t="s">
        <v>2</v>
      </c>
      <c r="B6">
        <v>22</v>
      </c>
      <c r="C6">
        <v>44</v>
      </c>
      <c r="D6">
        <v>44</v>
      </c>
      <c r="E6" s="3">
        <v>34.136363636363633</v>
      </c>
    </row>
    <row r="7" spans="1:9" x14ac:dyDescent="0.3">
      <c r="A7" s="2" t="s">
        <v>3</v>
      </c>
      <c r="B7">
        <v>19</v>
      </c>
      <c r="C7">
        <v>38</v>
      </c>
      <c r="D7">
        <v>38</v>
      </c>
      <c r="E7" s="3">
        <v>43.578947368421055</v>
      </c>
    </row>
    <row r="8" spans="1:9" x14ac:dyDescent="0.3">
      <c r="A8" s="2" t="s">
        <v>4</v>
      </c>
      <c r="B8">
        <v>21</v>
      </c>
      <c r="C8">
        <v>42</v>
      </c>
      <c r="D8">
        <v>42</v>
      </c>
      <c r="E8" s="3">
        <v>53.761904761904759</v>
      </c>
    </row>
    <row r="9" spans="1:9" x14ac:dyDescent="0.3">
      <c r="A9" s="2" t="s">
        <v>5</v>
      </c>
      <c r="B9">
        <v>17</v>
      </c>
      <c r="C9">
        <v>34</v>
      </c>
      <c r="D9">
        <v>34</v>
      </c>
      <c r="E9" s="3">
        <v>64.529411764705884</v>
      </c>
    </row>
    <row r="12" spans="1:9" x14ac:dyDescent="0.3">
      <c r="A12" t="s">
        <v>7</v>
      </c>
      <c r="B12" t="s">
        <v>11</v>
      </c>
      <c r="C12" t="s">
        <v>10</v>
      </c>
      <c r="E12" s="1" t="s">
        <v>27</v>
      </c>
      <c r="F12" t="s">
        <v>13</v>
      </c>
    </row>
    <row r="13" spans="1:9" x14ac:dyDescent="0.3">
      <c r="A13">
        <v>100</v>
      </c>
      <c r="B13">
        <v>100</v>
      </c>
      <c r="C13" s="3">
        <v>42.69</v>
      </c>
      <c r="E13" s="2" t="s">
        <v>21</v>
      </c>
      <c r="F13">
        <v>884</v>
      </c>
    </row>
    <row r="14" spans="1:9" x14ac:dyDescent="0.3">
      <c r="E14" s="2" t="s">
        <v>23</v>
      </c>
      <c r="F14">
        <v>968</v>
      </c>
    </row>
    <row r="15" spans="1:9" x14ac:dyDescent="0.3">
      <c r="E15" s="2" t="s">
        <v>22</v>
      </c>
      <c r="F15">
        <v>973</v>
      </c>
    </row>
    <row r="16" spans="1:9" x14ac:dyDescent="0.3">
      <c r="A16" t="s">
        <v>13</v>
      </c>
      <c r="B16" t="s">
        <v>12</v>
      </c>
      <c r="E16" s="2" t="s">
        <v>25</v>
      </c>
      <c r="F16">
        <v>1147</v>
      </c>
    </row>
    <row r="17" spans="1:7" x14ac:dyDescent="0.3">
      <c r="A17">
        <v>6587</v>
      </c>
      <c r="B17" s="3">
        <v>32.935000000000002</v>
      </c>
      <c r="E17" s="2" t="s">
        <v>26</v>
      </c>
      <c r="F17">
        <v>1257</v>
      </c>
    </row>
    <row r="18" spans="1:7" x14ac:dyDescent="0.3">
      <c r="E18" s="2" t="s">
        <v>24</v>
      </c>
      <c r="F18">
        <v>1358</v>
      </c>
    </row>
    <row r="19" spans="1:7" x14ac:dyDescent="0.3">
      <c r="A19" s="8" t="s">
        <v>17</v>
      </c>
      <c r="B19" s="8"/>
    </row>
    <row r="20" spans="1:7" x14ac:dyDescent="0.3">
      <c r="A20" s="1" t="s">
        <v>8</v>
      </c>
      <c r="B20" t="s">
        <v>16</v>
      </c>
      <c r="E20" s="2" t="s">
        <v>31</v>
      </c>
    </row>
    <row r="21" spans="1:7" x14ac:dyDescent="0.3">
      <c r="A21" s="2" t="s">
        <v>14</v>
      </c>
      <c r="B21">
        <v>1322</v>
      </c>
      <c r="E21" s="1" t="s">
        <v>28</v>
      </c>
      <c r="F21" t="s">
        <v>13</v>
      </c>
    </row>
    <row r="22" spans="1:7" x14ac:dyDescent="0.3">
      <c r="E22" s="2" t="s">
        <v>29</v>
      </c>
      <c r="F22">
        <v>80</v>
      </c>
    </row>
    <row r="23" spans="1:7" x14ac:dyDescent="0.3">
      <c r="A23" s="9" t="s">
        <v>18</v>
      </c>
      <c r="B23" s="9"/>
    </row>
    <row r="24" spans="1:7" x14ac:dyDescent="0.3">
      <c r="A24" s="1" t="s">
        <v>8</v>
      </c>
      <c r="B24" t="s">
        <v>16</v>
      </c>
      <c r="E24" s="2" t="s">
        <v>32</v>
      </c>
    </row>
    <row r="25" spans="1:7" x14ac:dyDescent="0.3">
      <c r="A25" s="2" t="s">
        <v>15</v>
      </c>
      <c r="B25">
        <v>185</v>
      </c>
      <c r="E25" s="1" t="s">
        <v>28</v>
      </c>
      <c r="F25" t="s">
        <v>13</v>
      </c>
    </row>
    <row r="26" spans="1:7" x14ac:dyDescent="0.3">
      <c r="E26" s="2" t="s">
        <v>30</v>
      </c>
      <c r="F26">
        <v>15</v>
      </c>
    </row>
    <row r="27" spans="1:7" x14ac:dyDescent="0.3">
      <c r="A27" s="1" t="s">
        <v>33</v>
      </c>
      <c r="B27" t="s">
        <v>13</v>
      </c>
    </row>
    <row r="28" spans="1:7" x14ac:dyDescent="0.3">
      <c r="A28" s="2">
        <v>2023</v>
      </c>
      <c r="B28">
        <v>5654</v>
      </c>
      <c r="E28" s="2"/>
    </row>
    <row r="29" spans="1:7" x14ac:dyDescent="0.3">
      <c r="A29" s="2">
        <v>2024</v>
      </c>
      <c r="B29">
        <v>933</v>
      </c>
      <c r="E29" s="1" t="s">
        <v>28</v>
      </c>
      <c r="F29" t="s">
        <v>13</v>
      </c>
      <c r="G29" s="6" t="s">
        <v>46</v>
      </c>
    </row>
    <row r="30" spans="1:7" x14ac:dyDescent="0.3">
      <c r="E30" s="2" t="s">
        <v>42</v>
      </c>
      <c r="F30">
        <v>1185</v>
      </c>
      <c r="G30">
        <f>AVERAGE($F$30:$F$36)</f>
        <v>941</v>
      </c>
    </row>
    <row r="31" spans="1:7" x14ac:dyDescent="0.3">
      <c r="A31" s="1" t="s">
        <v>33</v>
      </c>
      <c r="B31" t="s">
        <v>13</v>
      </c>
      <c r="E31" s="2" t="s">
        <v>40</v>
      </c>
      <c r="F31">
        <v>1085</v>
      </c>
      <c r="G31">
        <f t="shared" ref="G31:G36" si="0">AVERAGE($F$30:$F$36)</f>
        <v>941</v>
      </c>
    </row>
    <row r="32" spans="1:7" x14ac:dyDescent="0.3">
      <c r="A32" s="2">
        <v>2023</v>
      </c>
      <c r="B32" s="5"/>
      <c r="E32" s="2" t="s">
        <v>44</v>
      </c>
      <c r="F32">
        <v>983</v>
      </c>
      <c r="G32">
        <f t="shared" si="0"/>
        <v>941</v>
      </c>
    </row>
    <row r="33" spans="1:7" x14ac:dyDescent="0.3">
      <c r="A33" s="2">
        <v>2024</v>
      </c>
      <c r="B33" s="5">
        <v>-0.83498408206579411</v>
      </c>
      <c r="E33" s="2" t="s">
        <v>45</v>
      </c>
      <c r="F33">
        <v>887</v>
      </c>
      <c r="G33">
        <f t="shared" si="0"/>
        <v>941</v>
      </c>
    </row>
    <row r="34" spans="1:7" x14ac:dyDescent="0.3">
      <c r="E34" s="2" t="s">
        <v>43</v>
      </c>
      <c r="F34">
        <v>889</v>
      </c>
      <c r="G34">
        <f t="shared" si="0"/>
        <v>941</v>
      </c>
    </row>
    <row r="35" spans="1:7" x14ac:dyDescent="0.3">
      <c r="E35" s="2" t="s">
        <v>39</v>
      </c>
      <c r="F35">
        <v>762</v>
      </c>
      <c r="G35">
        <f t="shared" si="0"/>
        <v>941</v>
      </c>
    </row>
    <row r="36" spans="1:7" x14ac:dyDescent="0.3">
      <c r="A36" t="s">
        <v>34</v>
      </c>
      <c r="B36" t="s">
        <v>35</v>
      </c>
      <c r="C36" t="s">
        <v>38</v>
      </c>
      <c r="E36" s="2" t="s">
        <v>41</v>
      </c>
      <c r="F36">
        <v>796</v>
      </c>
      <c r="G36">
        <f t="shared" si="0"/>
        <v>941</v>
      </c>
    </row>
    <row r="37" spans="1:7" x14ac:dyDescent="0.3">
      <c r="A37" s="5">
        <f>GETPIVOTDATA("[Measures].[Sum of NumberOfRiders]",$A$31,"[Dim_DateTable].[Year]","[Dim_DateTable].[Year].&amp;[2024]")</f>
        <v>-0.83498408206579411</v>
      </c>
      <c r="B37" t="str">
        <f>IF(A37&lt;0,A40,A39)</f>
        <v>▼</v>
      </c>
      <c r="C37" t="str">
        <f>IF(A37&lt;0,"YoY change suggests room for improvement","We are doing well on the current year")</f>
        <v>YoY change suggests room for improvement</v>
      </c>
    </row>
    <row r="39" spans="1:7" x14ac:dyDescent="0.3">
      <c r="A39" t="s">
        <v>36</v>
      </c>
      <c r="G39" s="6"/>
    </row>
    <row r="40" spans="1:7" x14ac:dyDescent="0.3">
      <c r="A40" t="s">
        <v>37</v>
      </c>
    </row>
    <row r="42" spans="1:7" x14ac:dyDescent="0.3">
      <c r="A42" t="s">
        <v>47</v>
      </c>
      <c r="B42" t="s">
        <v>48</v>
      </c>
      <c r="C42" t="s">
        <v>49</v>
      </c>
      <c r="D42" t="s">
        <v>50</v>
      </c>
      <c r="F42" t="s">
        <v>38</v>
      </c>
    </row>
    <row r="43" spans="1:7" x14ac:dyDescent="0.3">
      <c r="A43" s="2" t="s">
        <v>42</v>
      </c>
      <c r="B43">
        <v>1185</v>
      </c>
      <c r="C43">
        <f>AVERAGE($B$43:$B$49)</f>
        <v>941</v>
      </c>
      <c r="D43">
        <f>IF(B43&gt;C43,B43,"")</f>
        <v>1185</v>
      </c>
      <c r="F43" t="str">
        <f>"Focus on highlighted weekdays: They exceeded the "&amp;C43&amp;" passengers average and account for "&amp;TEXT(F46, "0.0%")&amp;" of the Total Passengers"</f>
        <v>Focus on highlighted weekdays: They exceeded the 941 passengers average and account for 49.4% of the Total Passengers</v>
      </c>
    </row>
    <row r="44" spans="1:7" x14ac:dyDescent="0.3">
      <c r="A44" s="2" t="s">
        <v>40</v>
      </c>
      <c r="B44">
        <v>1085</v>
      </c>
      <c r="C44">
        <f t="shared" ref="C44:C49" si="1">AVERAGE($B$43:$B$49)</f>
        <v>941</v>
      </c>
      <c r="D44">
        <f t="shared" ref="D44:D49" si="2">IF(B44&gt;C44,B44,"")</f>
        <v>1085</v>
      </c>
    </row>
    <row r="45" spans="1:7" x14ac:dyDescent="0.3">
      <c r="A45" s="2" t="s">
        <v>44</v>
      </c>
      <c r="B45">
        <v>983</v>
      </c>
      <c r="C45">
        <f t="shared" si="1"/>
        <v>941</v>
      </c>
      <c r="D45">
        <f t="shared" si="2"/>
        <v>983</v>
      </c>
      <c r="F45" t="s">
        <v>51</v>
      </c>
    </row>
    <row r="46" spans="1:7" x14ac:dyDescent="0.3">
      <c r="A46" s="2" t="s">
        <v>45</v>
      </c>
      <c r="B46">
        <v>887</v>
      </c>
      <c r="C46">
        <f t="shared" si="1"/>
        <v>941</v>
      </c>
      <c r="D46" t="str">
        <f t="shared" si="2"/>
        <v/>
      </c>
      <c r="F46" s="5">
        <f>SUM(D43:D45)/SUM(B43:B49)</f>
        <v>0.4938515257325034</v>
      </c>
    </row>
    <row r="47" spans="1:7" x14ac:dyDescent="0.3">
      <c r="A47" s="2" t="s">
        <v>43</v>
      </c>
      <c r="B47">
        <v>889</v>
      </c>
      <c r="C47">
        <f t="shared" si="1"/>
        <v>941</v>
      </c>
      <c r="D47" t="str">
        <f t="shared" si="2"/>
        <v/>
      </c>
    </row>
    <row r="48" spans="1:7" x14ac:dyDescent="0.3">
      <c r="A48" s="2" t="s">
        <v>39</v>
      </c>
      <c r="B48">
        <v>762</v>
      </c>
      <c r="C48">
        <f t="shared" si="1"/>
        <v>941</v>
      </c>
      <c r="D48" t="str">
        <f t="shared" si="2"/>
        <v/>
      </c>
    </row>
    <row r="49" spans="1:8" x14ac:dyDescent="0.3">
      <c r="A49" s="2" t="s">
        <v>41</v>
      </c>
      <c r="B49">
        <v>796</v>
      </c>
      <c r="C49">
        <f t="shared" si="1"/>
        <v>941</v>
      </c>
      <c r="D49" t="str">
        <f t="shared" si="2"/>
        <v/>
      </c>
    </row>
    <row r="51" spans="1:8" x14ac:dyDescent="0.3">
      <c r="A51" s="1" t="s">
        <v>33</v>
      </c>
      <c r="B51" t="s">
        <v>13</v>
      </c>
      <c r="D51" s="1" t="s">
        <v>59</v>
      </c>
      <c r="E51" t="s">
        <v>58</v>
      </c>
    </row>
    <row r="52" spans="1:8" x14ac:dyDescent="0.3">
      <c r="A52" s="2" t="s">
        <v>55</v>
      </c>
      <c r="B52">
        <v>2033</v>
      </c>
      <c r="D52" s="2" t="s">
        <v>55</v>
      </c>
      <c r="E52">
        <v>20</v>
      </c>
      <c r="F52" s="2" t="s">
        <v>55</v>
      </c>
      <c r="G52">
        <v>20</v>
      </c>
      <c r="H52" t="str">
        <f>G52&amp;" Total Buses"</f>
        <v>20 Total Buses</v>
      </c>
    </row>
    <row r="53" spans="1:8" x14ac:dyDescent="0.3">
      <c r="A53" s="2" t="s">
        <v>56</v>
      </c>
      <c r="B53">
        <v>788</v>
      </c>
      <c r="D53" s="2" t="s">
        <v>56</v>
      </c>
      <c r="E53">
        <v>19</v>
      </c>
      <c r="F53" s="2" t="s">
        <v>56</v>
      </c>
      <c r="G53">
        <v>19</v>
      </c>
      <c r="H53" t="str">
        <f t="shared" ref="H53:H54" si="3">G53&amp;" Total Buses"</f>
        <v>19 Total Buses</v>
      </c>
    </row>
    <row r="54" spans="1:8" x14ac:dyDescent="0.3">
      <c r="A54" s="2" t="s">
        <v>57</v>
      </c>
      <c r="B54">
        <v>3766</v>
      </c>
      <c r="D54" s="2" t="s">
        <v>57</v>
      </c>
      <c r="E54">
        <v>38</v>
      </c>
      <c r="F54" s="2" t="s">
        <v>57</v>
      </c>
      <c r="G54">
        <v>38</v>
      </c>
      <c r="H54" t="str">
        <f t="shared" si="3"/>
        <v>38 Total Buses</v>
      </c>
    </row>
    <row r="56" spans="1:8" x14ac:dyDescent="0.3">
      <c r="A56" s="1" t="s">
        <v>33</v>
      </c>
      <c r="B56" t="s">
        <v>13</v>
      </c>
    </row>
    <row r="57" spans="1:8" x14ac:dyDescent="0.3">
      <c r="A57" s="2" t="s">
        <v>63</v>
      </c>
      <c r="B57" s="5">
        <v>0.35387885228480342</v>
      </c>
      <c r="D57" s="2" t="s">
        <v>60</v>
      </c>
      <c r="E57" t="s">
        <v>61</v>
      </c>
      <c r="F57" t="s">
        <v>62</v>
      </c>
    </row>
    <row r="58" spans="1:8" x14ac:dyDescent="0.3">
      <c r="A58" s="2" t="s">
        <v>64</v>
      </c>
      <c r="B58" s="5">
        <v>0.64612114771519658</v>
      </c>
      <c r="D58" s="2" t="s">
        <v>55</v>
      </c>
      <c r="E58" s="7">
        <f>G52/SUM($G$52:$G$54)</f>
        <v>0.25974025974025972</v>
      </c>
      <c r="F58" s="7">
        <f>1-E58</f>
        <v>0.74025974025974028</v>
      </c>
    </row>
    <row r="59" spans="1:8" x14ac:dyDescent="0.3">
      <c r="D59" s="2" t="s">
        <v>56</v>
      </c>
      <c r="E59" s="7">
        <f t="shared" ref="E59:E60" si="4">G53/SUM($G$52:$G$54)</f>
        <v>0.24675324675324675</v>
      </c>
      <c r="F59" s="7">
        <f t="shared" ref="F59:F60" si="5">1-E59</f>
        <v>0.75324675324675328</v>
      </c>
    </row>
    <row r="60" spans="1:8" x14ac:dyDescent="0.3">
      <c r="A60" s="2" t="s">
        <v>63</v>
      </c>
      <c r="B60" s="5">
        <v>0.35387885228480342</v>
      </c>
      <c r="D60" s="2" t="s">
        <v>57</v>
      </c>
      <c r="E60" s="7">
        <f t="shared" si="4"/>
        <v>0.4935064935064935</v>
      </c>
      <c r="F60" s="7">
        <f t="shared" si="5"/>
        <v>0.50649350649350655</v>
      </c>
    </row>
    <row r="61" spans="1:8" x14ac:dyDescent="0.3">
      <c r="A61" s="2" t="s">
        <v>64</v>
      </c>
      <c r="B61" s="5">
        <v>0.64612114771519658</v>
      </c>
    </row>
    <row r="62" spans="1:8" x14ac:dyDescent="0.3">
      <c r="E62" s="7">
        <f>SUM(E58:E60)</f>
        <v>1</v>
      </c>
    </row>
  </sheetData>
  <mergeCells count="2">
    <mergeCell ref="A19:B19"/>
    <mergeCell ref="A23:B23"/>
  </mergeCells>
  <pageMargins left="0.7" right="0.7" top="0.75" bottom="0.75" header="0.3" footer="0.3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3A21-4645-42E7-9D82-CED933DBE6C3}">
  <dimension ref="A1"/>
  <sheetViews>
    <sheetView showGridLines="0" showRowColHeaders="0" tabSelected="1" zoomScale="117" zoomScaleNormal="400" workbookViewId="0">
      <selection activeCell="A34" sqref="A34"/>
    </sheetView>
  </sheetViews>
  <sheetFormatPr defaultRowHeight="14.4" x14ac:dyDescent="0.3"/>
  <cols>
    <col min="1" max="16384" width="8.88671875" style="4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FD6E-F02D-4439-9F81-3B70EC2566F0}">
  <dimension ref="B2:M3"/>
  <sheetViews>
    <sheetView workbookViewId="0">
      <selection activeCell="M4" sqref="M4"/>
    </sheetView>
  </sheetViews>
  <sheetFormatPr defaultRowHeight="14.4" x14ac:dyDescent="0.3"/>
  <sheetData>
    <row r="2" spans="2:13" x14ac:dyDescent="0.3">
      <c r="B2" t="s">
        <v>20</v>
      </c>
      <c r="D2" t="s">
        <v>19</v>
      </c>
    </row>
    <row r="3" spans="2:13" x14ac:dyDescent="0.3">
      <c r="B3">
        <f>GETPIVOTDATA("[Measures].[Sum of NumberOfRiders]",Sheet2!$A$16)</f>
        <v>6587</v>
      </c>
      <c r="D3">
        <f>GETPIVOTDATA("[Measures].[Avg rider per bus]",Sheet2!$A$16)</f>
        <v>32.935000000000002</v>
      </c>
      <c r="G3" t="str">
        <f>Sheet2!E22</f>
        <v>8:57 PM</v>
      </c>
      <c r="I3" t="str">
        <f>Sheet2!E26</f>
        <v>7:50 PM</v>
      </c>
      <c r="K3" s="5">
        <f>Sheet2!A37</f>
        <v>-0.83498408206579411</v>
      </c>
      <c r="M3" t="str">
        <f>Sheet2!B37</f>
        <v>▼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Props1.xml><?xml version="1.0" encoding="utf-8"?>
<ds:datastoreItem xmlns:ds="http://schemas.openxmlformats.org/officeDocument/2006/customXml" ds:itemID="{D6C5D563-95A5-4C84-A2C8-0B16A1C6231C}">
  <ds:schemaRefs/>
</ds:datastoreItem>
</file>

<file path=customXml/itemProps2.xml><?xml version="1.0" encoding="utf-8"?>
<ds:datastoreItem xmlns:ds="http://schemas.openxmlformats.org/officeDocument/2006/customXml" ds:itemID="{71789760-3EDD-457E-8005-C42B92F7FA3A}">
  <ds:schemaRefs/>
</ds:datastoreItem>
</file>

<file path=customXml/itemProps3.xml><?xml version="1.0" encoding="utf-8"?>
<ds:datastoreItem xmlns:ds="http://schemas.openxmlformats.org/officeDocument/2006/customXml" ds:itemID="{B22C7290-80AE-4D9E-966B-AE1269B6E2EC}">
  <ds:schemaRefs/>
</ds:datastoreItem>
</file>

<file path=customXml/itemProps4.xml><?xml version="1.0" encoding="utf-8"?>
<ds:datastoreItem xmlns:ds="http://schemas.openxmlformats.org/officeDocument/2006/customXml" ds:itemID="{131E07D1-1F0B-4EF1-9D9B-62B6F4211A7A}">
  <ds:schemaRefs/>
</ds:datastoreItem>
</file>

<file path=customXml/itemProps5.xml><?xml version="1.0" encoding="utf-8"?>
<ds:datastoreItem xmlns:ds="http://schemas.openxmlformats.org/officeDocument/2006/customXml" ds:itemID="{6D8BCE9D-C916-488A-8A2A-E99D06D96ECA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3B69E70D-B954-484D-AC98-253ED73949F8}">
  <ds:schemaRefs/>
</ds:datastoreItem>
</file>

<file path=customXml/itemProps7.xml><?xml version="1.0" encoding="utf-8"?>
<ds:datastoreItem xmlns:ds="http://schemas.openxmlformats.org/officeDocument/2006/customXml" ds:itemID="{2078354D-E8CA-4F50-B20F-493056130490}">
  <ds:schemaRefs/>
</ds:datastoreItem>
</file>

<file path=customXml/itemProps8.xml><?xml version="1.0" encoding="utf-8"?>
<ds:datastoreItem xmlns:ds="http://schemas.openxmlformats.org/officeDocument/2006/customXml" ds:itemID="{4C9972D5-5AA6-43E0-8F8B-C2134FAB9C17}">
  <ds:schemaRefs/>
</ds:datastoreItem>
</file>

<file path=customXml/itemProps9.xml><?xml version="1.0" encoding="utf-8"?>
<ds:datastoreItem xmlns:ds="http://schemas.openxmlformats.org/officeDocument/2006/customXml" ds:itemID="{A681A23D-0945-4927-9196-184F97F0C712}">
  <ds:schemaRefs/>
</ds:datastoreItem>
</file>

<file path=customXml/itemProps10.xml><?xml version="1.0" encoding="utf-8"?>
<ds:datastoreItem xmlns:ds="http://schemas.openxmlformats.org/officeDocument/2006/customXml" ds:itemID="{C9511065-90AD-4441-BFFA-D93AA9CC0170}">
  <ds:schemaRefs/>
</ds:datastoreItem>
</file>

<file path=customXml/itemProps11.xml><?xml version="1.0" encoding="utf-8"?>
<ds:datastoreItem xmlns:ds="http://schemas.openxmlformats.org/officeDocument/2006/customXml" ds:itemID="{76359BFD-34F4-4F54-882B-B82EBB12E988}">
  <ds:schemaRefs/>
</ds:datastoreItem>
</file>

<file path=customXml/itemProps12.xml><?xml version="1.0" encoding="utf-8"?>
<ds:datastoreItem xmlns:ds="http://schemas.openxmlformats.org/officeDocument/2006/customXml" ds:itemID="{8925E37D-A89C-4914-AD88-71077C984AA1}">
  <ds:schemaRefs/>
</ds:datastoreItem>
</file>

<file path=customXml/itemProps13.xml><?xml version="1.0" encoding="utf-8"?>
<ds:datastoreItem xmlns:ds="http://schemas.openxmlformats.org/officeDocument/2006/customXml" ds:itemID="{BA379C2B-3AF7-4D18-8568-3B9D2A438052}">
  <ds:schemaRefs/>
</ds:datastoreItem>
</file>

<file path=customXml/itemProps14.xml><?xml version="1.0" encoding="utf-8"?>
<ds:datastoreItem xmlns:ds="http://schemas.openxmlformats.org/officeDocument/2006/customXml" ds:itemID="{3C165BDB-46D4-49F9-8F1E-3BB837D48336}">
  <ds:schemaRefs/>
</ds:datastoreItem>
</file>

<file path=customXml/itemProps15.xml><?xml version="1.0" encoding="utf-8"?>
<ds:datastoreItem xmlns:ds="http://schemas.openxmlformats.org/officeDocument/2006/customXml" ds:itemID="{562C77DB-042E-4404-AE6C-5A5415292D88}">
  <ds:schemaRefs/>
</ds:datastoreItem>
</file>

<file path=customXml/itemProps16.xml><?xml version="1.0" encoding="utf-8"?>
<ds:datastoreItem xmlns:ds="http://schemas.openxmlformats.org/officeDocument/2006/customXml" ds:itemID="{E9DF6BAC-B034-43AB-925E-25DB71845711}">
  <ds:schemaRefs/>
</ds:datastoreItem>
</file>

<file path=customXml/itemProps17.xml><?xml version="1.0" encoding="utf-8"?>
<ds:datastoreItem xmlns:ds="http://schemas.openxmlformats.org/officeDocument/2006/customXml" ds:itemID="{ED00244A-7426-41E7-858F-E08445414FD4}">
  <ds:schemaRefs/>
</ds:datastoreItem>
</file>

<file path=customXml/itemProps18.xml><?xml version="1.0" encoding="utf-8"?>
<ds:datastoreItem xmlns:ds="http://schemas.openxmlformats.org/officeDocument/2006/customXml" ds:itemID="{FBB0FCB2-93E2-41FC-8A97-5A59DEF1E9BD}">
  <ds:schemaRefs/>
</ds:datastoreItem>
</file>

<file path=customXml/itemProps19.xml><?xml version="1.0" encoding="utf-8"?>
<ds:datastoreItem xmlns:ds="http://schemas.openxmlformats.org/officeDocument/2006/customXml" ds:itemID="{DA54629B-75FA-461F-9E07-B30A11E30473}">
  <ds:schemaRefs/>
</ds:datastoreItem>
</file>

<file path=customXml/itemProps20.xml><?xml version="1.0" encoding="utf-8"?>
<ds:datastoreItem xmlns:ds="http://schemas.openxmlformats.org/officeDocument/2006/customXml" ds:itemID="{2258F828-E9A6-423D-A4A1-9A7892584963}">
  <ds:schemaRefs/>
</ds:datastoreItem>
</file>

<file path=customXml/itemProps21.xml><?xml version="1.0" encoding="utf-8"?>
<ds:datastoreItem xmlns:ds="http://schemas.openxmlformats.org/officeDocument/2006/customXml" ds:itemID="{A6310523-7DFF-44B6-A75C-B7AF296C9631}">
  <ds:schemaRefs/>
</ds:datastoreItem>
</file>

<file path=customXml/itemProps22.xml><?xml version="1.0" encoding="utf-8"?>
<ds:datastoreItem xmlns:ds="http://schemas.openxmlformats.org/officeDocument/2006/customXml" ds:itemID="{D14ED50E-50E6-40E3-A6E1-7022CCE736D4}">
  <ds:schemaRefs/>
</ds:datastoreItem>
</file>

<file path=customXml/itemProps23.xml><?xml version="1.0" encoding="utf-8"?>
<ds:datastoreItem xmlns:ds="http://schemas.openxmlformats.org/officeDocument/2006/customXml" ds:itemID="{5A6F896F-061B-4885-AC11-36C6959E651B}">
  <ds:schemaRefs/>
</ds:datastoreItem>
</file>

<file path=customXml/itemProps24.xml><?xml version="1.0" encoding="utf-8"?>
<ds:datastoreItem xmlns:ds="http://schemas.openxmlformats.org/officeDocument/2006/customXml" ds:itemID="{9387473C-0F0C-4774-988A-27F5AFB80CF9}">
  <ds:schemaRefs/>
</ds:datastoreItem>
</file>

<file path=customXml/itemProps25.xml><?xml version="1.0" encoding="utf-8"?>
<ds:datastoreItem xmlns:ds="http://schemas.openxmlformats.org/officeDocument/2006/customXml" ds:itemID="{E7E2C8E0-1DB2-4265-8BF1-2C325DB257BB}">
  <ds:schemaRefs/>
</ds:datastoreItem>
</file>

<file path=customXml/itemProps26.xml><?xml version="1.0" encoding="utf-8"?>
<ds:datastoreItem xmlns:ds="http://schemas.openxmlformats.org/officeDocument/2006/customXml" ds:itemID="{604EE027-AFDA-4636-ACA5-05A92ADF7561}">
  <ds:schemaRefs/>
</ds:datastoreItem>
</file>

<file path=customXml/itemProps27.xml><?xml version="1.0" encoding="utf-8"?>
<ds:datastoreItem xmlns:ds="http://schemas.openxmlformats.org/officeDocument/2006/customXml" ds:itemID="{4F240EEF-7419-4FBB-8677-725C7F35C8F9}">
  <ds:schemaRefs/>
</ds:datastoreItem>
</file>

<file path=customXml/itemProps28.xml><?xml version="1.0" encoding="utf-8"?>
<ds:datastoreItem xmlns:ds="http://schemas.openxmlformats.org/officeDocument/2006/customXml" ds:itemID="{5EAD2E4A-6787-4429-AC2C-668C60D8036D}">
  <ds:schemaRefs/>
</ds:datastoreItem>
</file>

<file path=customXml/itemProps29.xml><?xml version="1.0" encoding="utf-8"?>
<ds:datastoreItem xmlns:ds="http://schemas.openxmlformats.org/officeDocument/2006/customXml" ds:itemID="{61415D35-ED53-42BE-93B5-6FB59CF2A7EC}">
  <ds:schemaRefs/>
</ds:datastoreItem>
</file>

<file path=customXml/itemProps30.xml><?xml version="1.0" encoding="utf-8"?>
<ds:datastoreItem xmlns:ds="http://schemas.openxmlformats.org/officeDocument/2006/customXml" ds:itemID="{F4417DE9-88E4-4471-AC05-A124668C3460}">
  <ds:schemaRefs/>
</ds:datastoreItem>
</file>

<file path=customXml/itemProps31.xml><?xml version="1.0" encoding="utf-8"?>
<ds:datastoreItem xmlns:ds="http://schemas.openxmlformats.org/officeDocument/2006/customXml" ds:itemID="{DCCA710E-8B22-4887-92C5-111DC0BC2D2A}">
  <ds:schemaRefs/>
</ds:datastoreItem>
</file>

<file path=customXml/itemProps32.xml><?xml version="1.0" encoding="utf-8"?>
<ds:datastoreItem xmlns:ds="http://schemas.openxmlformats.org/officeDocument/2006/customXml" ds:itemID="{CC9727E5-9741-4D38-A124-BD8A43E0ECD4}">
  <ds:schemaRefs/>
</ds:datastoreItem>
</file>

<file path=customXml/itemProps33.xml><?xml version="1.0" encoding="utf-8"?>
<ds:datastoreItem xmlns:ds="http://schemas.openxmlformats.org/officeDocument/2006/customXml" ds:itemID="{99272D02-7654-4C01-8770-809178587E5E}">
  <ds:schemaRefs/>
</ds:datastoreItem>
</file>

<file path=customXml/itemProps34.xml><?xml version="1.0" encoding="utf-8"?>
<ds:datastoreItem xmlns:ds="http://schemas.openxmlformats.org/officeDocument/2006/customXml" ds:itemID="{CD4496BC-2787-484D-8506-A57F58E96A1D}">
  <ds:schemaRefs/>
</ds:datastoreItem>
</file>

<file path=customXml/itemProps35.xml><?xml version="1.0" encoding="utf-8"?>
<ds:datastoreItem xmlns:ds="http://schemas.openxmlformats.org/officeDocument/2006/customXml" ds:itemID="{F9E8263A-4950-4D1C-BBD4-09A014441FCD}">
  <ds:schemaRefs/>
</ds:datastoreItem>
</file>

<file path=customXml/itemProps36.xml><?xml version="1.0" encoding="utf-8"?>
<ds:datastoreItem xmlns:ds="http://schemas.openxmlformats.org/officeDocument/2006/customXml" ds:itemID="{56D8D4B6-B163-402D-ADCC-CF5D91A81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Khyati Sethia</dc:creator>
  <cp:lastModifiedBy>Khyati Sethia</cp:lastModifiedBy>
  <dcterms:created xsi:type="dcterms:W3CDTF">2026-01-17T09:28:00Z</dcterms:created>
  <dcterms:modified xsi:type="dcterms:W3CDTF">2026-07-28T07:45:32Z</dcterms:modified>
</cp:coreProperties>
</file>